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FORM16" sheetId="2" r:id="rId1"/>
    <sheet name="Sheet1" sheetId="1" r:id="rId2"/>
  </sheets>
  <functionGroups/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B90" i="2"/>
  <c r="AD89"/>
  <c r="R73"/>
  <c r="X73" s="1"/>
  <c r="R72"/>
  <c r="X72" s="1"/>
  <c r="AD69"/>
  <c r="AD61" s="1"/>
  <c r="X61"/>
  <c r="X45"/>
  <c r="X40"/>
  <c r="X35"/>
  <c r="L35"/>
  <c r="L34"/>
  <c r="X30"/>
  <c r="X36" s="1"/>
  <c r="AD41" s="1"/>
  <c r="AD46" s="1"/>
  <c r="AA21"/>
  <c r="S21"/>
  <c r="AD78"/>
  <c r="AD79" l="1"/>
  <c r="AD80" s="1"/>
  <c r="AD82" s="1"/>
  <c r="AD84" s="1"/>
  <c r="AD73"/>
  <c r="AD75"/>
  <c r="AD77" s="1"/>
  <c r="AJ77" s="1"/>
</calcChain>
</file>

<file path=xl/sharedStrings.xml><?xml version="1.0" encoding="utf-8"?>
<sst xmlns="http://schemas.openxmlformats.org/spreadsheetml/2006/main" count="241" uniqueCount="173">
  <si>
    <t>ID</t>
  </si>
  <si>
    <t>NAME</t>
  </si>
  <si>
    <t>EMPID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</si>
  <si>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</si>
  <si>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</si>
  <si>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</si>
  <si>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</si>
  <si>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</si>
  <si>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</si>
  <si>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</si>
  <si>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</si>
  <si>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</si>
  <si>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</si>
  <si>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</si>
  <si>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</si>
  <si>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gross</t>
  </si>
  <si>
    <t>rent</t>
  </si>
  <si>
    <t>hbi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</si>
  <si>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</si>
  <si>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</si>
  <si>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</si>
  <si>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</si>
  <si>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</si>
  <si>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</si>
  <si>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</si>
  <si>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</si>
  <si>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</si>
  <si>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</si>
  <si>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</si>
  <si>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</si>
  <si>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</si>
  <si>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</si>
  <si>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</si>
  <si>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</si>
  <si>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</si>
  <si>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</si>
  <si>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</si>
  <si>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</si>
  <si>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</si>
  <si>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</si>
  <si>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</si>
  <si>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</si>
  <si>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</si>
  <si>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</si>
  <si>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</si>
  <si>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</si>
  <si>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</si>
  <si>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</si>
  <si>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</si>
  <si>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</si>
  <si>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</si>
  <si>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</si>
  <si>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</si>
  <si>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</si>
  <si>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2017-18</t>
  </si>
  <si>
    <t>From</t>
  </si>
  <si>
    <t>To</t>
  </si>
  <si>
    <t>City</t>
  </si>
  <si>
    <t>Pin code</t>
  </si>
  <si>
    <t>01.04.2016</t>
  </si>
  <si>
    <t>31.03.2017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</si>
  <si>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</si>
  <si>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</si>
  <si>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</si>
  <si>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</si>
  <si>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</si>
  <si>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</si>
  <si>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</si>
  <si>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</si>
  <si>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</si>
  <si>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</si>
  <si>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</si>
  <si>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</si>
  <si>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</si>
  <si>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</si>
  <si>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</si>
  <si>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</si>
  <si>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</si>
  <si>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</si>
  <si>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</si>
  <si>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</si>
  <si>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</si>
  <si>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</si>
  <si>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</si>
  <si>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</si>
  <si>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Allowance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</si>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</sst>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</font>
    <font>
      <b/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180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2" borderId="0" xfId="0" applyFill="1"/>
    <xf numFmtId="0" fontId="0" fillId="3" borderId="0" xfId="0" applyFill="1"/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2" fillId="4" borderId="0" xfId="1" applyFont="1" applyFill="1" applyAlignment="1">
      <alignment vertical="center"/>
    </xf>
    <xf numFmtId="0" fontId="5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5" borderId="5" xfId="1" applyFont="1" applyFill="1" applyBorder="1" applyAlignment="1" applyProtection="1">
      <alignment horizontal="left" vertical="center"/>
      <protection locked="0"/>
    </xf>
    <xf numFmtId="0" fontId="5" fillId="5" borderId="6" xfId="1" applyFont="1" applyFill="1" applyBorder="1" applyAlignment="1" applyProtection="1">
      <alignment horizontal="left" vertical="center"/>
      <protection locked="0"/>
    </xf>
    <xf numFmtId="0" fontId="5" fillId="5" borderId="5" xfId="1" applyFont="1" applyFill="1" applyBorder="1" applyAlignment="1" applyProtection="1">
      <alignment horizontal="center" vertical="center"/>
      <protection locked="0"/>
    </xf>
    <xf numFmtId="0" fontId="5" fillId="5" borderId="6" xfId="1" applyFont="1" applyFill="1" applyBorder="1" applyAlignment="1" applyProtection="1">
      <alignment horizontal="center" vertical="center"/>
      <protection locked="0"/>
    </xf>
    <xf numFmtId="0" fontId="5" fillId="5" borderId="7" xfId="1" applyFont="1" applyFill="1" applyBorder="1" applyAlignment="1" applyProtection="1">
      <alignment horizontal="center" vertical="center"/>
      <protection locked="0"/>
    </xf>
    <xf numFmtId="0" fontId="5" fillId="5" borderId="8" xfId="1" applyFont="1" applyFill="1" applyBorder="1" applyAlignment="1" applyProtection="1">
      <alignment horizontal="left" vertical="center"/>
      <protection locked="0"/>
    </xf>
    <xf numFmtId="0" fontId="5" fillId="5" borderId="9" xfId="1" applyFont="1" applyFill="1" applyBorder="1" applyAlignment="1" applyProtection="1">
      <alignment horizontal="left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5" fillId="5" borderId="2" xfId="1" applyFont="1" applyFill="1" applyBorder="1" applyAlignment="1" applyProtection="1">
      <alignment vertical="center"/>
      <protection locked="0"/>
    </xf>
    <xf numFmtId="0" fontId="5" fillId="5" borderId="3" xfId="1" applyFont="1" applyFill="1" applyBorder="1" applyAlignment="1" applyProtection="1">
      <alignment vertical="center"/>
      <protection locked="0"/>
    </xf>
    <xf numFmtId="0" fontId="5" fillId="5" borderId="1" xfId="1" applyFont="1" applyFill="1" applyBorder="1" applyAlignment="1" applyProtection="1">
      <alignment vertical="center"/>
      <protection locked="0"/>
    </xf>
    <xf numFmtId="0" fontId="5" fillId="5" borderId="2" xfId="1" applyFont="1" applyFill="1" applyBorder="1" applyAlignment="1" applyProtection="1">
      <alignment horizontal="center" vertical="center"/>
      <protection locked="0"/>
    </xf>
    <xf numFmtId="0" fontId="5" fillId="5" borderId="3" xfId="1" applyFont="1" applyFill="1" applyBorder="1" applyAlignment="1" applyProtection="1">
      <alignment horizontal="center" vertical="center"/>
      <protection locked="0"/>
    </xf>
    <xf numFmtId="0" fontId="5" fillId="5" borderId="4" xfId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5" borderId="11" xfId="1" applyFont="1" applyFill="1" applyBorder="1" applyAlignment="1" applyProtection="1">
      <alignment horizontal="center" vertical="center" wrapText="1"/>
      <protection locked="0"/>
    </xf>
    <xf numFmtId="0" fontId="6" fillId="5" borderId="12" xfId="1" applyFont="1" applyFill="1" applyBorder="1" applyAlignment="1" applyProtection="1">
      <alignment horizontal="center" vertical="center" wrapText="1"/>
      <protection locked="0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6" fillId="5" borderId="13" xfId="1" applyFont="1" applyFill="1" applyBorder="1" applyAlignment="1" applyProtection="1">
      <alignment vertical="center"/>
      <protection locked="0"/>
    </xf>
    <xf numFmtId="0" fontId="6" fillId="5" borderId="14" xfId="1" applyFont="1" applyFill="1" applyBorder="1" applyAlignment="1" applyProtection="1">
      <alignment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5" borderId="16" xfId="1" applyFont="1" applyFill="1" applyBorder="1" applyAlignment="1" applyProtection="1">
      <alignment vertical="center"/>
      <protection locked="0"/>
    </xf>
    <xf numFmtId="0" fontId="6" fillId="5" borderId="17" xfId="1" applyFont="1" applyFill="1" applyBorder="1" applyAlignment="1" applyProtection="1">
      <alignment vertical="center"/>
      <protection locked="0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164" fontId="6" fillId="5" borderId="2" xfId="1" applyNumberFormat="1" applyFont="1" applyFill="1" applyBorder="1" applyAlignment="1" applyProtection="1">
      <alignment horizontal="center" vertical="center"/>
      <protection locked="0"/>
    </xf>
    <xf numFmtId="164" fontId="6" fillId="5" borderId="3" xfId="1" applyNumberFormat="1" applyFont="1" applyFill="1" applyBorder="1" applyAlignment="1" applyProtection="1">
      <alignment horizontal="center" vertical="center"/>
      <protection locked="0"/>
    </xf>
    <xf numFmtId="164" fontId="6" fillId="5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2" fillId="0" borderId="1" xfId="1" applyFont="1" applyBorder="1" applyAlignment="1" applyProtection="1">
      <alignment horizontal="center" vertical="center"/>
    </xf>
    <xf numFmtId="0" fontId="2" fillId="5" borderId="1" xfId="1" applyFont="1" applyFill="1" applyBorder="1" applyAlignment="1" applyProtection="1">
      <alignment vertical="center"/>
      <protection locked="0"/>
    </xf>
    <xf numFmtId="1" fontId="2" fillId="5" borderId="1" xfId="1" applyNumberFormat="1" applyFont="1" applyFill="1" applyBorder="1" applyAlignment="1" applyProtection="1">
      <alignment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2" fillId="6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49" fontId="2" fillId="0" borderId="18" xfId="1" applyNumberFormat="1" applyFont="1" applyBorder="1" applyAlignment="1">
      <alignment horizontal="center" vertical="center"/>
    </xf>
    <xf numFmtId="0" fontId="2" fillId="0" borderId="0" xfId="1" applyFont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6" fillId="0" borderId="5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0" fontId="2" fillId="0" borderId="20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2" fillId="0" borderId="0" xfId="1" applyFont="1" applyBorder="1" applyAlignment="1">
      <alignment vertical="center" wrapText="1"/>
    </xf>
    <xf numFmtId="0" fontId="2" fillId="0" borderId="19" xfId="1" applyFont="1" applyBorder="1" applyAlignment="1">
      <alignment vertical="center" wrapText="1"/>
    </xf>
    <xf numFmtId="0" fontId="6" fillId="0" borderId="18" xfId="1" applyFont="1" applyBorder="1" applyAlignment="1">
      <alignment vertical="center"/>
    </xf>
    <xf numFmtId="0" fontId="2" fillId="5" borderId="19" xfId="1" applyFont="1" applyFill="1" applyBorder="1" applyAlignment="1" applyProtection="1">
      <alignment vertical="center"/>
      <protection locked="0"/>
    </xf>
    <xf numFmtId="0" fontId="2" fillId="5" borderId="21" xfId="1" applyFont="1" applyFill="1" applyBorder="1" applyAlignment="1" applyProtection="1">
      <alignment vertical="center"/>
      <protection locked="0"/>
    </xf>
    <xf numFmtId="0" fontId="2" fillId="0" borderId="18" xfId="1" applyFont="1" applyBorder="1" applyAlignment="1">
      <alignment vertical="center"/>
    </xf>
    <xf numFmtId="0" fontId="2" fillId="0" borderId="21" xfId="1" applyFont="1" applyBorder="1" applyAlignment="1">
      <alignment vertical="center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1" fontId="2" fillId="5" borderId="19" xfId="1" applyNumberFormat="1" applyFont="1" applyFill="1" applyBorder="1" applyAlignment="1" applyProtection="1">
      <alignment vertical="center"/>
      <protection locked="0"/>
    </xf>
    <xf numFmtId="1" fontId="2" fillId="5" borderId="21" xfId="1" applyNumberFormat="1" applyFont="1" applyFill="1" applyBorder="1" applyAlignment="1" applyProtection="1">
      <alignment vertical="center"/>
      <protection locked="0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0" fontId="2" fillId="0" borderId="1" xfId="1" applyFont="1" applyBorder="1" applyAlignment="1">
      <alignment horizontal="center" vertical="center"/>
    </xf>
    <xf numFmtId="0" fontId="2" fillId="5" borderId="2" xfId="1" applyFont="1" applyFill="1" applyBorder="1" applyAlignment="1" applyProtection="1">
      <alignment vertical="center"/>
      <protection locked="0"/>
    </xf>
    <xf numFmtId="0" fontId="2" fillId="5" borderId="3" xfId="1" applyFont="1" applyFill="1" applyBorder="1" applyAlignment="1" applyProtection="1">
      <alignment vertical="center"/>
      <protection locked="0"/>
    </xf>
    <xf numFmtId="0" fontId="2" fillId="5" borderId="4" xfId="1" applyFont="1" applyFill="1" applyBorder="1" applyAlignment="1" applyProtection="1">
      <alignment vertical="center"/>
      <protection locked="0"/>
    </xf>
    <xf numFmtId="0" fontId="2" fillId="0" borderId="6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18" xfId="1" applyNumberFormat="1" applyFont="1" applyBorder="1" applyAlignment="1">
      <alignment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5" borderId="25" xfId="1" applyFont="1" applyFill="1" applyBorder="1" applyAlignment="1" applyProtection="1">
      <alignment vertical="center"/>
      <protection locked="0"/>
    </xf>
    <xf numFmtId="0" fontId="2" fillId="5" borderId="26" xfId="1" applyFont="1" applyFill="1" applyBorder="1" applyAlignment="1" applyProtection="1">
      <alignment vertical="center"/>
      <protection locked="0"/>
    </xf>
    <xf numFmtId="0" fontId="2" fillId="7" borderId="27" xfId="1" applyFont="1" applyFill="1" applyBorder="1" applyAlignment="1">
      <alignment vertical="center"/>
    </xf>
    <xf numFmtId="0" fontId="2" fillId="7" borderId="28" xfId="1" applyFont="1" applyFill="1" applyBorder="1" applyAlignment="1">
      <alignment vertical="center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0" fontId="2" fillId="0" borderId="0" xfId="1" applyFont="1" applyBorder="1" applyAlignment="1">
      <alignment vertical="top"/>
    </xf>
    <xf numFmtId="0" fontId="2" fillId="8" borderId="0" xfId="1" applyFont="1" applyFill="1" applyBorder="1" applyAlignment="1">
      <alignment vertical="center"/>
    </xf>
    <xf numFmtId="0" fontId="2" fillId="8" borderId="25" xfId="1" applyFont="1" applyFill="1" applyBorder="1" applyAlignment="1" applyProtection="1">
      <alignment vertical="center"/>
      <protection locked="0"/>
    </xf>
    <xf numFmtId="0" fontId="2" fillId="8" borderId="26" xfId="1" applyFont="1" applyFill="1" applyBorder="1" applyAlignment="1" applyProtection="1">
      <alignment vertical="center"/>
      <protection locked="0"/>
    </xf>
    <xf numFmtId="0" fontId="7" fillId="4" borderId="0" xfId="1" applyFont="1" applyFill="1" applyAlignment="1">
      <alignment vertical="center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1" fontId="2" fillId="0" borderId="0" xfId="1" applyNumberFormat="1" applyFont="1" applyBorder="1" applyAlignment="1">
      <alignment vertical="center"/>
    </xf>
    <xf numFmtId="1" fontId="2" fillId="5" borderId="0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49" fontId="8" fillId="0" borderId="1" xfId="1" applyNumberFormat="1" applyFont="1" applyBorder="1" applyAlignment="1">
      <alignment horizontal="center" vertical="center"/>
    </xf>
    <xf numFmtId="0" fontId="2" fillId="0" borderId="5" xfId="1" applyBorder="1"/>
    <xf numFmtId="0" fontId="2" fillId="5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5" borderId="7" xfId="1" applyFill="1" applyBorder="1" applyProtection="1">
      <protection locked="0"/>
    </xf>
    <xf numFmtId="0" fontId="2" fillId="0" borderId="18" xfId="1" applyBorder="1"/>
    <xf numFmtId="0" fontId="2" fillId="0" borderId="0" xfId="1" applyBorder="1"/>
    <xf numFmtId="0" fontId="2" fillId="5" borderId="0" xfId="1" applyFill="1" applyBorder="1" applyProtection="1">
      <protection locked="0"/>
    </xf>
    <xf numFmtId="0" fontId="2" fillId="0" borderId="0" xfId="1" applyBorder="1"/>
    <xf numFmtId="1" fontId="2" fillId="5" borderId="0" xfId="1" applyNumberFormat="1" applyFill="1" applyBorder="1" applyProtection="1">
      <protection locked="0"/>
    </xf>
    <xf numFmtId="0" fontId="2" fillId="5" borderId="19" xfId="1" applyFill="1" applyBorder="1" applyProtection="1">
      <protection locked="0"/>
    </xf>
    <xf numFmtId="0" fontId="2" fillId="5" borderId="0" xfId="1" applyFont="1" applyFill="1" applyBorder="1" applyAlignment="1" applyProtection="1">
      <alignment vertical="center"/>
      <protection locked="0"/>
    </xf>
    <xf numFmtId="0" fontId="2" fillId="0" borderId="19" xfId="1" applyFont="1" applyBorder="1" applyAlignment="1">
      <alignment vertical="center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5" borderId="2" xfId="1" applyNumberFormat="1" applyFont="1" applyFill="1" applyBorder="1" applyAlignment="1" applyProtection="1">
      <alignment vertical="center"/>
      <protection locked="0"/>
    </xf>
    <xf numFmtId="49" fontId="2" fillId="5" borderId="3" xfId="1" applyNumberFormat="1" applyFont="1" applyFill="1" applyBorder="1" applyAlignment="1" applyProtection="1">
      <alignment vertical="center"/>
      <protection locked="0"/>
    </xf>
    <xf numFmtId="49" fontId="2" fillId="5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49" fontId="2" fillId="0" borderId="1" xfId="1" applyNumberFormat="1" applyFont="1" applyBorder="1" applyAlignment="1">
      <alignment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0" fontId="2" fillId="0" borderId="1" xfId="1" applyFont="1" applyBorder="1" applyAlignment="1">
      <alignment vertical="center" wrapText="1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horizontal="justify" vertical="top"/>
    </xf>
    <xf numFmtId="0" fontId="5" fillId="0" borderId="0" xfId="1" applyFont="1" applyAlignment="1">
      <alignment vertical="center"/>
    </xf>
    <xf numFmtId="0" fontId="2" fillId="4" borderId="0" xfId="1" applyFill="1"/>
    <xf numFmtId="49" fontId="2" fillId="4" borderId="0" xfId="1" applyNumberFormat="1" applyFont="1" applyFill="1" applyAlignment="1">
      <alignment vertical="center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opLeftCell="A79" workbookViewId="0">
      <selection activeCell="AD79" sqref="AD79:AH79"/>
    </sheetView>
  </sheetViews>
  <sheetFormatPr defaultColWidth="2.7109375" defaultRowHeight="12.75"/>
  <cols>
    <col min="1" max="1" width="3.28515625" style="172" customWidth="1"/>
    <col min="2" max="34" width="3.28515625" style="173" customWidth="1"/>
    <col min="35" max="35" width="2.7109375" style="8" customWidth="1"/>
    <col min="36" max="36" width="9.42578125" style="8" customWidth="1"/>
    <col min="37" max="109" width="2.7109375" style="8" customWidth="1"/>
    <col min="110" max="256" width="2.7109375" style="173"/>
    <col min="257" max="290" width="3.28515625" style="173" customWidth="1"/>
    <col min="291" max="291" width="2.7109375" style="173" customWidth="1"/>
    <col min="292" max="292" width="9.42578125" style="173" customWidth="1"/>
    <col min="293" max="365" width="2.7109375" style="173" customWidth="1"/>
    <col min="366" max="512" width="2.7109375" style="173"/>
    <col min="513" max="546" width="3.28515625" style="173" customWidth="1"/>
    <col min="547" max="547" width="2.7109375" style="173" customWidth="1"/>
    <col min="548" max="548" width="9.42578125" style="173" customWidth="1"/>
    <col min="549" max="621" width="2.7109375" style="173" customWidth="1"/>
    <col min="622" max="768" width="2.7109375" style="173"/>
    <col min="769" max="802" width="3.28515625" style="173" customWidth="1"/>
    <col min="803" max="803" width="2.7109375" style="173" customWidth="1"/>
    <col min="804" max="804" width="9.42578125" style="173" customWidth="1"/>
    <col min="805" max="877" width="2.7109375" style="173" customWidth="1"/>
    <col min="878" max="1024" width="2.7109375" style="173"/>
    <col min="1025" max="1058" width="3.28515625" style="173" customWidth="1"/>
    <col min="1059" max="1059" width="2.7109375" style="173" customWidth="1"/>
    <col min="1060" max="1060" width="9.42578125" style="173" customWidth="1"/>
    <col min="1061" max="1133" width="2.7109375" style="173" customWidth="1"/>
    <col min="1134" max="1280" width="2.7109375" style="173"/>
    <col min="1281" max="1314" width="3.28515625" style="173" customWidth="1"/>
    <col min="1315" max="1315" width="2.7109375" style="173" customWidth="1"/>
    <col min="1316" max="1316" width="9.42578125" style="173" customWidth="1"/>
    <col min="1317" max="1389" width="2.7109375" style="173" customWidth="1"/>
    <col min="1390" max="1536" width="2.7109375" style="173"/>
    <col min="1537" max="1570" width="3.28515625" style="173" customWidth="1"/>
    <col min="1571" max="1571" width="2.7109375" style="173" customWidth="1"/>
    <col min="1572" max="1572" width="9.42578125" style="173" customWidth="1"/>
    <col min="1573" max="1645" width="2.7109375" style="173" customWidth="1"/>
    <col min="1646" max="1792" width="2.7109375" style="173"/>
    <col min="1793" max="1826" width="3.28515625" style="173" customWidth="1"/>
    <col min="1827" max="1827" width="2.7109375" style="173" customWidth="1"/>
    <col min="1828" max="1828" width="9.42578125" style="173" customWidth="1"/>
    <col min="1829" max="1901" width="2.7109375" style="173" customWidth="1"/>
    <col min="1902" max="2048" width="2.7109375" style="173"/>
    <col min="2049" max="2082" width="3.28515625" style="173" customWidth="1"/>
    <col min="2083" max="2083" width="2.7109375" style="173" customWidth="1"/>
    <col min="2084" max="2084" width="9.42578125" style="173" customWidth="1"/>
    <col min="2085" max="2157" width="2.7109375" style="173" customWidth="1"/>
    <col min="2158" max="2304" width="2.7109375" style="173"/>
    <col min="2305" max="2338" width="3.28515625" style="173" customWidth="1"/>
    <col min="2339" max="2339" width="2.7109375" style="173" customWidth="1"/>
    <col min="2340" max="2340" width="9.42578125" style="173" customWidth="1"/>
    <col min="2341" max="2413" width="2.7109375" style="173" customWidth="1"/>
    <col min="2414" max="2560" width="2.7109375" style="173"/>
    <col min="2561" max="2594" width="3.28515625" style="173" customWidth="1"/>
    <col min="2595" max="2595" width="2.7109375" style="173" customWidth="1"/>
    <col min="2596" max="2596" width="9.42578125" style="173" customWidth="1"/>
    <col min="2597" max="2669" width="2.7109375" style="173" customWidth="1"/>
    <col min="2670" max="2816" width="2.7109375" style="173"/>
    <col min="2817" max="2850" width="3.28515625" style="173" customWidth="1"/>
    <col min="2851" max="2851" width="2.7109375" style="173" customWidth="1"/>
    <col min="2852" max="2852" width="9.42578125" style="173" customWidth="1"/>
    <col min="2853" max="2925" width="2.7109375" style="173" customWidth="1"/>
    <col min="2926" max="3072" width="2.7109375" style="173"/>
    <col min="3073" max="3106" width="3.28515625" style="173" customWidth="1"/>
    <col min="3107" max="3107" width="2.7109375" style="173" customWidth="1"/>
    <col min="3108" max="3108" width="9.42578125" style="173" customWidth="1"/>
    <col min="3109" max="3181" width="2.7109375" style="173" customWidth="1"/>
    <col min="3182" max="3328" width="2.7109375" style="173"/>
    <col min="3329" max="3362" width="3.28515625" style="173" customWidth="1"/>
    <col min="3363" max="3363" width="2.7109375" style="173" customWidth="1"/>
    <col min="3364" max="3364" width="9.42578125" style="173" customWidth="1"/>
    <col min="3365" max="3437" width="2.7109375" style="173" customWidth="1"/>
    <col min="3438" max="3584" width="2.7109375" style="173"/>
    <col min="3585" max="3618" width="3.28515625" style="173" customWidth="1"/>
    <col min="3619" max="3619" width="2.7109375" style="173" customWidth="1"/>
    <col min="3620" max="3620" width="9.42578125" style="173" customWidth="1"/>
    <col min="3621" max="3693" width="2.7109375" style="173" customWidth="1"/>
    <col min="3694" max="3840" width="2.7109375" style="173"/>
    <col min="3841" max="3874" width="3.28515625" style="173" customWidth="1"/>
    <col min="3875" max="3875" width="2.7109375" style="173" customWidth="1"/>
    <col min="3876" max="3876" width="9.42578125" style="173" customWidth="1"/>
    <col min="3877" max="3949" width="2.7109375" style="173" customWidth="1"/>
    <col min="3950" max="4096" width="2.7109375" style="173"/>
    <col min="4097" max="4130" width="3.28515625" style="173" customWidth="1"/>
    <col min="4131" max="4131" width="2.7109375" style="173" customWidth="1"/>
    <col min="4132" max="4132" width="9.42578125" style="173" customWidth="1"/>
    <col min="4133" max="4205" width="2.7109375" style="173" customWidth="1"/>
    <col min="4206" max="4352" width="2.7109375" style="173"/>
    <col min="4353" max="4386" width="3.28515625" style="173" customWidth="1"/>
    <col min="4387" max="4387" width="2.7109375" style="173" customWidth="1"/>
    <col min="4388" max="4388" width="9.42578125" style="173" customWidth="1"/>
    <col min="4389" max="4461" width="2.7109375" style="173" customWidth="1"/>
    <col min="4462" max="4608" width="2.7109375" style="173"/>
    <col min="4609" max="4642" width="3.28515625" style="173" customWidth="1"/>
    <col min="4643" max="4643" width="2.7109375" style="173" customWidth="1"/>
    <col min="4644" max="4644" width="9.42578125" style="173" customWidth="1"/>
    <col min="4645" max="4717" width="2.7109375" style="173" customWidth="1"/>
    <col min="4718" max="4864" width="2.7109375" style="173"/>
    <col min="4865" max="4898" width="3.28515625" style="173" customWidth="1"/>
    <col min="4899" max="4899" width="2.7109375" style="173" customWidth="1"/>
    <col min="4900" max="4900" width="9.42578125" style="173" customWidth="1"/>
    <col min="4901" max="4973" width="2.7109375" style="173" customWidth="1"/>
    <col min="4974" max="5120" width="2.7109375" style="173"/>
    <col min="5121" max="5154" width="3.28515625" style="173" customWidth="1"/>
    <col min="5155" max="5155" width="2.7109375" style="173" customWidth="1"/>
    <col min="5156" max="5156" width="9.42578125" style="173" customWidth="1"/>
    <col min="5157" max="5229" width="2.7109375" style="173" customWidth="1"/>
    <col min="5230" max="5376" width="2.7109375" style="173"/>
    <col min="5377" max="5410" width="3.28515625" style="173" customWidth="1"/>
    <col min="5411" max="5411" width="2.7109375" style="173" customWidth="1"/>
    <col min="5412" max="5412" width="9.42578125" style="173" customWidth="1"/>
    <col min="5413" max="5485" width="2.7109375" style="173" customWidth="1"/>
    <col min="5486" max="5632" width="2.7109375" style="173"/>
    <col min="5633" max="5666" width="3.28515625" style="173" customWidth="1"/>
    <col min="5667" max="5667" width="2.7109375" style="173" customWidth="1"/>
    <col min="5668" max="5668" width="9.42578125" style="173" customWidth="1"/>
    <col min="5669" max="5741" width="2.7109375" style="173" customWidth="1"/>
    <col min="5742" max="5888" width="2.7109375" style="173"/>
    <col min="5889" max="5922" width="3.28515625" style="173" customWidth="1"/>
    <col min="5923" max="5923" width="2.7109375" style="173" customWidth="1"/>
    <col min="5924" max="5924" width="9.42578125" style="173" customWidth="1"/>
    <col min="5925" max="5997" width="2.7109375" style="173" customWidth="1"/>
    <col min="5998" max="6144" width="2.7109375" style="173"/>
    <col min="6145" max="6178" width="3.28515625" style="173" customWidth="1"/>
    <col min="6179" max="6179" width="2.7109375" style="173" customWidth="1"/>
    <col min="6180" max="6180" width="9.42578125" style="173" customWidth="1"/>
    <col min="6181" max="6253" width="2.7109375" style="173" customWidth="1"/>
    <col min="6254" max="6400" width="2.7109375" style="173"/>
    <col min="6401" max="6434" width="3.28515625" style="173" customWidth="1"/>
    <col min="6435" max="6435" width="2.7109375" style="173" customWidth="1"/>
    <col min="6436" max="6436" width="9.42578125" style="173" customWidth="1"/>
    <col min="6437" max="6509" width="2.7109375" style="173" customWidth="1"/>
    <col min="6510" max="6656" width="2.7109375" style="173"/>
    <col min="6657" max="6690" width="3.28515625" style="173" customWidth="1"/>
    <col min="6691" max="6691" width="2.7109375" style="173" customWidth="1"/>
    <col min="6692" max="6692" width="9.42578125" style="173" customWidth="1"/>
    <col min="6693" max="6765" width="2.7109375" style="173" customWidth="1"/>
    <col min="6766" max="6912" width="2.7109375" style="173"/>
    <col min="6913" max="6946" width="3.28515625" style="173" customWidth="1"/>
    <col min="6947" max="6947" width="2.7109375" style="173" customWidth="1"/>
    <col min="6948" max="6948" width="9.42578125" style="173" customWidth="1"/>
    <col min="6949" max="7021" width="2.7109375" style="173" customWidth="1"/>
    <col min="7022" max="7168" width="2.7109375" style="173"/>
    <col min="7169" max="7202" width="3.28515625" style="173" customWidth="1"/>
    <col min="7203" max="7203" width="2.7109375" style="173" customWidth="1"/>
    <col min="7204" max="7204" width="9.42578125" style="173" customWidth="1"/>
    <col min="7205" max="7277" width="2.7109375" style="173" customWidth="1"/>
    <col min="7278" max="7424" width="2.7109375" style="173"/>
    <col min="7425" max="7458" width="3.28515625" style="173" customWidth="1"/>
    <col min="7459" max="7459" width="2.7109375" style="173" customWidth="1"/>
    <col min="7460" max="7460" width="9.42578125" style="173" customWidth="1"/>
    <col min="7461" max="7533" width="2.7109375" style="173" customWidth="1"/>
    <col min="7534" max="7680" width="2.7109375" style="173"/>
    <col min="7681" max="7714" width="3.28515625" style="173" customWidth="1"/>
    <col min="7715" max="7715" width="2.7109375" style="173" customWidth="1"/>
    <col min="7716" max="7716" width="9.42578125" style="173" customWidth="1"/>
    <col min="7717" max="7789" width="2.7109375" style="173" customWidth="1"/>
    <col min="7790" max="7936" width="2.7109375" style="173"/>
    <col min="7937" max="7970" width="3.28515625" style="173" customWidth="1"/>
    <col min="7971" max="7971" width="2.7109375" style="173" customWidth="1"/>
    <col min="7972" max="7972" width="9.42578125" style="173" customWidth="1"/>
    <col min="7973" max="8045" width="2.7109375" style="173" customWidth="1"/>
    <col min="8046" max="8192" width="2.7109375" style="173"/>
    <col min="8193" max="8226" width="3.28515625" style="173" customWidth="1"/>
    <col min="8227" max="8227" width="2.7109375" style="173" customWidth="1"/>
    <col min="8228" max="8228" width="9.42578125" style="173" customWidth="1"/>
    <col min="8229" max="8301" width="2.7109375" style="173" customWidth="1"/>
    <col min="8302" max="8448" width="2.7109375" style="173"/>
    <col min="8449" max="8482" width="3.28515625" style="173" customWidth="1"/>
    <col min="8483" max="8483" width="2.7109375" style="173" customWidth="1"/>
    <col min="8484" max="8484" width="9.42578125" style="173" customWidth="1"/>
    <col min="8485" max="8557" width="2.7109375" style="173" customWidth="1"/>
    <col min="8558" max="8704" width="2.7109375" style="173"/>
    <col min="8705" max="8738" width="3.28515625" style="173" customWidth="1"/>
    <col min="8739" max="8739" width="2.7109375" style="173" customWidth="1"/>
    <col min="8740" max="8740" width="9.42578125" style="173" customWidth="1"/>
    <col min="8741" max="8813" width="2.7109375" style="173" customWidth="1"/>
    <col min="8814" max="8960" width="2.7109375" style="173"/>
    <col min="8961" max="8994" width="3.28515625" style="173" customWidth="1"/>
    <col min="8995" max="8995" width="2.7109375" style="173" customWidth="1"/>
    <col min="8996" max="8996" width="9.42578125" style="173" customWidth="1"/>
    <col min="8997" max="9069" width="2.7109375" style="173" customWidth="1"/>
    <col min="9070" max="9216" width="2.7109375" style="173"/>
    <col min="9217" max="9250" width="3.28515625" style="173" customWidth="1"/>
    <col min="9251" max="9251" width="2.7109375" style="173" customWidth="1"/>
    <col min="9252" max="9252" width="9.42578125" style="173" customWidth="1"/>
    <col min="9253" max="9325" width="2.7109375" style="173" customWidth="1"/>
    <col min="9326" max="9472" width="2.7109375" style="173"/>
    <col min="9473" max="9506" width="3.28515625" style="173" customWidth="1"/>
    <col min="9507" max="9507" width="2.7109375" style="173" customWidth="1"/>
    <col min="9508" max="9508" width="9.42578125" style="173" customWidth="1"/>
    <col min="9509" max="9581" width="2.7109375" style="173" customWidth="1"/>
    <col min="9582" max="9728" width="2.7109375" style="173"/>
    <col min="9729" max="9762" width="3.28515625" style="173" customWidth="1"/>
    <col min="9763" max="9763" width="2.7109375" style="173" customWidth="1"/>
    <col min="9764" max="9764" width="9.42578125" style="173" customWidth="1"/>
    <col min="9765" max="9837" width="2.7109375" style="173" customWidth="1"/>
    <col min="9838" max="9984" width="2.7109375" style="173"/>
    <col min="9985" max="10018" width="3.28515625" style="173" customWidth="1"/>
    <col min="10019" max="10019" width="2.7109375" style="173" customWidth="1"/>
    <col min="10020" max="10020" width="9.42578125" style="173" customWidth="1"/>
    <col min="10021" max="10093" width="2.7109375" style="173" customWidth="1"/>
    <col min="10094" max="10240" width="2.7109375" style="173"/>
    <col min="10241" max="10274" width="3.28515625" style="173" customWidth="1"/>
    <col min="10275" max="10275" width="2.7109375" style="173" customWidth="1"/>
    <col min="10276" max="10276" width="9.42578125" style="173" customWidth="1"/>
    <col min="10277" max="10349" width="2.7109375" style="173" customWidth="1"/>
    <col min="10350" max="10496" width="2.7109375" style="173"/>
    <col min="10497" max="10530" width="3.28515625" style="173" customWidth="1"/>
    <col min="10531" max="10531" width="2.7109375" style="173" customWidth="1"/>
    <col min="10532" max="10532" width="9.42578125" style="173" customWidth="1"/>
    <col min="10533" max="10605" width="2.7109375" style="173" customWidth="1"/>
    <col min="10606" max="10752" width="2.7109375" style="173"/>
    <col min="10753" max="10786" width="3.28515625" style="173" customWidth="1"/>
    <col min="10787" max="10787" width="2.7109375" style="173" customWidth="1"/>
    <col min="10788" max="10788" width="9.42578125" style="173" customWidth="1"/>
    <col min="10789" max="10861" width="2.7109375" style="173" customWidth="1"/>
    <col min="10862" max="11008" width="2.7109375" style="173"/>
    <col min="11009" max="11042" width="3.28515625" style="173" customWidth="1"/>
    <col min="11043" max="11043" width="2.7109375" style="173" customWidth="1"/>
    <col min="11044" max="11044" width="9.42578125" style="173" customWidth="1"/>
    <col min="11045" max="11117" width="2.7109375" style="173" customWidth="1"/>
    <col min="11118" max="11264" width="2.7109375" style="173"/>
    <col min="11265" max="11298" width="3.28515625" style="173" customWidth="1"/>
    <col min="11299" max="11299" width="2.7109375" style="173" customWidth="1"/>
    <col min="11300" max="11300" width="9.42578125" style="173" customWidth="1"/>
    <col min="11301" max="11373" width="2.7109375" style="173" customWidth="1"/>
    <col min="11374" max="11520" width="2.7109375" style="173"/>
    <col min="11521" max="11554" width="3.28515625" style="173" customWidth="1"/>
    <col min="11555" max="11555" width="2.7109375" style="173" customWidth="1"/>
    <col min="11556" max="11556" width="9.42578125" style="173" customWidth="1"/>
    <col min="11557" max="11629" width="2.7109375" style="173" customWidth="1"/>
    <col min="11630" max="11776" width="2.7109375" style="173"/>
    <col min="11777" max="11810" width="3.28515625" style="173" customWidth="1"/>
    <col min="11811" max="11811" width="2.7109375" style="173" customWidth="1"/>
    <col min="11812" max="11812" width="9.42578125" style="173" customWidth="1"/>
    <col min="11813" max="11885" width="2.7109375" style="173" customWidth="1"/>
    <col min="11886" max="12032" width="2.7109375" style="173"/>
    <col min="12033" max="12066" width="3.28515625" style="173" customWidth="1"/>
    <col min="12067" max="12067" width="2.7109375" style="173" customWidth="1"/>
    <col min="12068" max="12068" width="9.42578125" style="173" customWidth="1"/>
    <col min="12069" max="12141" width="2.7109375" style="173" customWidth="1"/>
    <col min="12142" max="12288" width="2.7109375" style="173"/>
    <col min="12289" max="12322" width="3.28515625" style="173" customWidth="1"/>
    <col min="12323" max="12323" width="2.7109375" style="173" customWidth="1"/>
    <col min="12324" max="12324" width="9.42578125" style="173" customWidth="1"/>
    <col min="12325" max="12397" width="2.7109375" style="173" customWidth="1"/>
    <col min="12398" max="12544" width="2.7109375" style="173"/>
    <col min="12545" max="12578" width="3.28515625" style="173" customWidth="1"/>
    <col min="12579" max="12579" width="2.7109375" style="173" customWidth="1"/>
    <col min="12580" max="12580" width="9.42578125" style="173" customWidth="1"/>
    <col min="12581" max="12653" width="2.7109375" style="173" customWidth="1"/>
    <col min="12654" max="12800" width="2.7109375" style="173"/>
    <col min="12801" max="12834" width="3.28515625" style="173" customWidth="1"/>
    <col min="12835" max="12835" width="2.7109375" style="173" customWidth="1"/>
    <col min="12836" max="12836" width="9.42578125" style="173" customWidth="1"/>
    <col min="12837" max="12909" width="2.7109375" style="173" customWidth="1"/>
    <col min="12910" max="13056" width="2.7109375" style="173"/>
    <col min="13057" max="13090" width="3.28515625" style="173" customWidth="1"/>
    <col min="13091" max="13091" width="2.7109375" style="173" customWidth="1"/>
    <col min="13092" max="13092" width="9.42578125" style="173" customWidth="1"/>
    <col min="13093" max="13165" width="2.7109375" style="173" customWidth="1"/>
    <col min="13166" max="13312" width="2.7109375" style="173"/>
    <col min="13313" max="13346" width="3.28515625" style="173" customWidth="1"/>
    <col min="13347" max="13347" width="2.7109375" style="173" customWidth="1"/>
    <col min="13348" max="13348" width="9.42578125" style="173" customWidth="1"/>
    <col min="13349" max="13421" width="2.7109375" style="173" customWidth="1"/>
    <col min="13422" max="13568" width="2.7109375" style="173"/>
    <col min="13569" max="13602" width="3.28515625" style="173" customWidth="1"/>
    <col min="13603" max="13603" width="2.7109375" style="173" customWidth="1"/>
    <col min="13604" max="13604" width="9.42578125" style="173" customWidth="1"/>
    <col min="13605" max="13677" width="2.7109375" style="173" customWidth="1"/>
    <col min="13678" max="13824" width="2.7109375" style="173"/>
    <col min="13825" max="13858" width="3.28515625" style="173" customWidth="1"/>
    <col min="13859" max="13859" width="2.7109375" style="173" customWidth="1"/>
    <col min="13860" max="13860" width="9.42578125" style="173" customWidth="1"/>
    <col min="13861" max="13933" width="2.7109375" style="173" customWidth="1"/>
    <col min="13934" max="14080" width="2.7109375" style="173"/>
    <col min="14081" max="14114" width="3.28515625" style="173" customWidth="1"/>
    <col min="14115" max="14115" width="2.7109375" style="173" customWidth="1"/>
    <col min="14116" max="14116" width="9.42578125" style="173" customWidth="1"/>
    <col min="14117" max="14189" width="2.7109375" style="173" customWidth="1"/>
    <col min="14190" max="14336" width="2.7109375" style="173"/>
    <col min="14337" max="14370" width="3.28515625" style="173" customWidth="1"/>
    <col min="14371" max="14371" width="2.7109375" style="173" customWidth="1"/>
    <col min="14372" max="14372" width="9.42578125" style="173" customWidth="1"/>
    <col min="14373" max="14445" width="2.7109375" style="173" customWidth="1"/>
    <col min="14446" max="14592" width="2.7109375" style="173"/>
    <col min="14593" max="14626" width="3.28515625" style="173" customWidth="1"/>
    <col min="14627" max="14627" width="2.7109375" style="173" customWidth="1"/>
    <col min="14628" max="14628" width="9.42578125" style="173" customWidth="1"/>
    <col min="14629" max="14701" width="2.7109375" style="173" customWidth="1"/>
    <col min="14702" max="14848" width="2.7109375" style="173"/>
    <col min="14849" max="14882" width="3.28515625" style="173" customWidth="1"/>
    <col min="14883" max="14883" width="2.7109375" style="173" customWidth="1"/>
    <col min="14884" max="14884" width="9.42578125" style="173" customWidth="1"/>
    <col min="14885" max="14957" width="2.7109375" style="173" customWidth="1"/>
    <col min="14958" max="15104" width="2.7109375" style="173"/>
    <col min="15105" max="15138" width="3.28515625" style="173" customWidth="1"/>
    <col min="15139" max="15139" width="2.7109375" style="173" customWidth="1"/>
    <col min="15140" max="15140" width="9.42578125" style="173" customWidth="1"/>
    <col min="15141" max="15213" width="2.7109375" style="173" customWidth="1"/>
    <col min="15214" max="15360" width="2.7109375" style="173"/>
    <col min="15361" max="15394" width="3.28515625" style="173" customWidth="1"/>
    <col min="15395" max="15395" width="2.7109375" style="173" customWidth="1"/>
    <col min="15396" max="15396" width="9.42578125" style="173" customWidth="1"/>
    <col min="15397" max="15469" width="2.7109375" style="173" customWidth="1"/>
    <col min="15470" max="15616" width="2.7109375" style="173"/>
    <col min="15617" max="15650" width="3.28515625" style="173" customWidth="1"/>
    <col min="15651" max="15651" width="2.7109375" style="173" customWidth="1"/>
    <col min="15652" max="15652" width="9.42578125" style="173" customWidth="1"/>
    <col min="15653" max="15725" width="2.7109375" style="173" customWidth="1"/>
    <col min="15726" max="15872" width="2.7109375" style="173"/>
    <col min="15873" max="15906" width="3.28515625" style="173" customWidth="1"/>
    <col min="15907" max="15907" width="2.7109375" style="173" customWidth="1"/>
    <col min="15908" max="15908" width="9.42578125" style="173" customWidth="1"/>
    <col min="15909" max="15981" width="2.7109375" style="173" customWidth="1"/>
    <col min="15982" max="16128" width="2.7109375" style="173"/>
    <col min="16129" max="16162" width="3.28515625" style="173" customWidth="1"/>
    <col min="16163" max="16163" width="2.7109375" style="173" customWidth="1"/>
    <col min="16164" max="16164" width="9.42578125" style="173" customWidth="1"/>
    <col min="16165" max="16237" width="2.7109375" style="173" customWidth="1"/>
    <col min="16238" max="16384" width="2.7109375" style="173"/>
  </cols>
  <sheetData>
    <row r="1" spans="1:34" s="8" customFormat="1" ht="30" customHeight="1">
      <c r="A1" s="6" t="s">
        <v>39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</row>
    <row r="2" spans="1:34" s="8" customFormat="1" ht="30" customHeight="1">
      <c r="A2" s="6" t="s">
        <v>40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 s="8" customFormat="1" ht="30" customHeight="1">
      <c r="A3" s="6" t="s">
        <v>41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</row>
    <row r="4" spans="1:34" s="8" customFormat="1" ht="17.100000000000001" customHeight="1">
      <c r="A4" s="10" t="s">
        <v>42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0" t="s">
        <v>43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2"/>
    </row>
    <row r="5" spans="1:34" s="8" customFormat="1" ht="17.100000000000001" customHeight="1">
      <c r="A5" s="13" t="s">
        <v>44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5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7"/>
    </row>
    <row r="6" spans="1:34" s="8" customFormat="1" ht="17.100000000000001" customHeight="1">
      <c r="A6" s="18" t="s">
        <v>45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20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2"/>
    </row>
    <row r="7" spans="1:34" s="8" customFormat="1" ht="17.100000000000001" customHeight="1">
      <c r="A7" s="10" t="s">
        <v>46</v>
      </c>
      <c r="B7" s="11"/>
      <c r="C7" s="11"/>
      <c r="D7" s="11"/>
      <c r="E7" s="11"/>
      <c r="F7" s="11"/>
      <c r="G7" s="11"/>
      <c r="H7" s="11"/>
      <c r="I7" s="11"/>
      <c r="J7" s="9" t="s">
        <v>47</v>
      </c>
      <c r="K7" s="9"/>
      <c r="L7" s="9"/>
      <c r="M7" s="9"/>
      <c r="N7" s="9"/>
      <c r="O7" s="9"/>
      <c r="P7" s="9"/>
      <c r="Q7" s="9"/>
      <c r="R7" s="10" t="s">
        <v>48</v>
      </c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2"/>
    </row>
    <row r="8" spans="1:34" s="8" customFormat="1" ht="17.100000000000001" customHeight="1">
      <c r="A8" s="23"/>
      <c r="B8" s="24"/>
      <c r="C8" s="24"/>
      <c r="D8" s="24"/>
      <c r="E8" s="24"/>
      <c r="F8" s="24"/>
      <c r="G8" s="24"/>
      <c r="H8" s="24"/>
      <c r="I8" s="24"/>
      <c r="J8" s="25" t="s">
        <v>49</v>
      </c>
      <c r="K8" s="25"/>
      <c r="L8" s="25"/>
      <c r="M8" s="25"/>
      <c r="N8" s="25"/>
      <c r="O8" s="25"/>
      <c r="P8" s="25"/>
      <c r="Q8" s="23"/>
      <c r="R8" s="26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8"/>
    </row>
    <row r="9" spans="1:34" s="8" customFormat="1" ht="17.100000000000001" customHeight="1">
      <c r="A9" s="29" t="s">
        <v>50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1"/>
      <c r="R9" s="32" t="s">
        <v>51</v>
      </c>
      <c r="S9" s="33"/>
      <c r="T9" s="33"/>
      <c r="U9" s="33"/>
      <c r="V9" s="33"/>
      <c r="W9" s="33"/>
      <c r="X9" s="33"/>
      <c r="Y9" s="33"/>
      <c r="Z9" s="34"/>
      <c r="AA9" s="32" t="s">
        <v>52</v>
      </c>
      <c r="AB9" s="33"/>
      <c r="AC9" s="33"/>
      <c r="AD9" s="33"/>
      <c r="AE9" s="33"/>
      <c r="AF9" s="33"/>
      <c r="AG9" s="33"/>
      <c r="AH9" s="34"/>
    </row>
    <row r="10" spans="1:34" s="8" customFormat="1" ht="17.100000000000001" customHeight="1">
      <c r="A10" s="35" t="s">
        <v>53</v>
      </c>
      <c r="B10" s="36"/>
      <c r="C10" s="36"/>
      <c r="D10" s="36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8"/>
      <c r="R10" s="39"/>
      <c r="S10" s="40"/>
      <c r="T10" s="40"/>
      <c r="U10" s="40"/>
      <c r="V10" s="40"/>
      <c r="W10" s="40"/>
      <c r="X10" s="40"/>
      <c r="Y10" s="40"/>
      <c r="Z10" s="41"/>
      <c r="AA10" s="39"/>
      <c r="AB10" s="40"/>
      <c r="AC10" s="40"/>
      <c r="AD10" s="40"/>
      <c r="AE10" s="40"/>
      <c r="AF10" s="40"/>
      <c r="AG10" s="40"/>
      <c r="AH10" s="41"/>
    </row>
    <row r="11" spans="1:34" s="8" customFormat="1" ht="17.100000000000001" customHeight="1">
      <c r="A11" s="42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4"/>
      <c r="R11" s="45" t="s">
        <v>54</v>
      </c>
      <c r="S11" s="46"/>
      <c r="T11" s="46"/>
      <c r="U11" s="46"/>
      <c r="V11" s="46"/>
      <c r="W11" s="46"/>
      <c r="X11" s="46"/>
      <c r="Y11" s="46"/>
      <c r="Z11" s="47"/>
      <c r="AA11" s="10" t="s">
        <v>55</v>
      </c>
      <c r="AB11" s="11"/>
      <c r="AC11" s="11"/>
      <c r="AD11" s="12"/>
      <c r="AE11" s="10" t="s">
        <v>56</v>
      </c>
      <c r="AF11" s="11"/>
      <c r="AG11" s="11"/>
      <c r="AH11" s="12"/>
    </row>
    <row r="12" spans="1:34" s="8" customFormat="1" ht="17.100000000000001" customHeight="1">
      <c r="A12" s="48" t="s">
        <v>57</v>
      </c>
      <c r="B12" s="49"/>
      <c r="C12" s="50"/>
      <c r="D12" s="50"/>
      <c r="E12" s="50"/>
      <c r="F12" s="50"/>
      <c r="G12" s="50"/>
      <c r="H12" s="50"/>
      <c r="I12" s="50"/>
      <c r="J12" s="51" t="s">
        <v>58</v>
      </c>
      <c r="K12" s="51"/>
      <c r="L12" s="51"/>
      <c r="M12" s="51"/>
      <c r="N12" s="52"/>
      <c r="O12" s="52"/>
      <c r="P12" s="52"/>
      <c r="Q12" s="53"/>
      <c r="R12" s="54"/>
      <c r="S12" s="55"/>
      <c r="T12" s="55"/>
      <c r="U12" s="55"/>
      <c r="V12" s="55"/>
      <c r="W12" s="55"/>
      <c r="X12" s="55"/>
      <c r="Y12" s="55"/>
      <c r="Z12" s="56"/>
      <c r="AA12" s="57" t="s">
        <v>59</v>
      </c>
      <c r="AB12" s="58"/>
      <c r="AC12" s="58"/>
      <c r="AD12" s="59"/>
      <c r="AE12" s="57" t="s">
        <v>60</v>
      </c>
      <c r="AF12" s="58"/>
      <c r="AG12" s="58"/>
      <c r="AH12" s="59"/>
    </row>
    <row r="13" spans="1:34" s="8" customFormat="1" ht="17.100000000000001" customHeight="1">
      <c r="A13" s="10" t="s">
        <v>61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2"/>
    </row>
    <row r="14" spans="1:34" s="8" customFormat="1" ht="17.100000000000001" customHeight="1">
      <c r="A14" s="60" t="s">
        <v>62</v>
      </c>
      <c r="B14" s="61"/>
      <c r="C14" s="61"/>
      <c r="D14" s="61"/>
      <c r="E14" s="62"/>
      <c r="F14" s="60" t="s">
        <v>63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  <c r="S14" s="60" t="s">
        <v>64</v>
      </c>
      <c r="T14" s="61"/>
      <c r="U14" s="61"/>
      <c r="V14" s="61"/>
      <c r="W14" s="61"/>
      <c r="X14" s="61"/>
      <c r="Y14" s="61"/>
      <c r="Z14" s="62"/>
      <c r="AA14" s="60" t="s">
        <v>65</v>
      </c>
      <c r="AB14" s="61"/>
      <c r="AC14" s="61"/>
      <c r="AD14" s="61"/>
      <c r="AE14" s="61"/>
      <c r="AF14" s="61"/>
      <c r="AG14" s="61"/>
      <c r="AH14" s="62"/>
    </row>
    <row r="15" spans="1:34" s="8" customFormat="1" ht="17.100000000000001" customHeight="1">
      <c r="A15" s="63"/>
      <c r="B15" s="64"/>
      <c r="C15" s="64"/>
      <c r="D15" s="64"/>
      <c r="E15" s="65"/>
      <c r="F15" s="63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5"/>
      <c r="S15" s="63"/>
      <c r="T15" s="64"/>
      <c r="U15" s="64"/>
      <c r="V15" s="64"/>
      <c r="W15" s="64"/>
      <c r="X15" s="64"/>
      <c r="Y15" s="64"/>
      <c r="Z15" s="65"/>
      <c r="AA15" s="63"/>
      <c r="AB15" s="64"/>
      <c r="AC15" s="64"/>
      <c r="AD15" s="64"/>
      <c r="AE15" s="64"/>
      <c r="AF15" s="64"/>
      <c r="AG15" s="64"/>
      <c r="AH15" s="65"/>
    </row>
    <row r="16" spans="1:34" s="8" customFormat="1" ht="17.100000000000001" customHeight="1">
      <c r="A16" s="66"/>
      <c r="B16" s="67"/>
      <c r="C16" s="67"/>
      <c r="D16" s="67"/>
      <c r="E16" s="68"/>
      <c r="F16" s="66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8"/>
      <c r="S16" s="66"/>
      <c r="T16" s="67"/>
      <c r="U16" s="67"/>
      <c r="V16" s="67"/>
      <c r="W16" s="67"/>
      <c r="X16" s="67"/>
      <c r="Y16" s="67"/>
      <c r="Z16" s="68"/>
      <c r="AA16" s="66"/>
      <c r="AB16" s="67"/>
      <c r="AC16" s="67"/>
      <c r="AD16" s="67"/>
      <c r="AE16" s="67"/>
      <c r="AF16" s="67"/>
      <c r="AG16" s="67"/>
      <c r="AH16" s="68"/>
    </row>
    <row r="17" spans="1:34" s="8" customFormat="1" ht="17.100000000000001" customHeight="1">
      <c r="A17" s="69" t="s">
        <v>66</v>
      </c>
      <c r="B17" s="69"/>
      <c r="C17" s="69"/>
      <c r="D17" s="69"/>
      <c r="E17" s="69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</row>
    <row r="18" spans="1:34" s="8" customFormat="1" ht="17.100000000000001" customHeight="1">
      <c r="A18" s="69" t="s">
        <v>67</v>
      </c>
      <c r="B18" s="69"/>
      <c r="C18" s="69"/>
      <c r="D18" s="69"/>
      <c r="E18" s="69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</row>
    <row r="19" spans="1:34" s="8" customFormat="1" ht="17.100000000000001" customHeight="1">
      <c r="A19" s="69" t="s">
        <v>68</v>
      </c>
      <c r="B19" s="69"/>
      <c r="C19" s="69"/>
      <c r="D19" s="69"/>
      <c r="E19" s="69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</row>
    <row r="20" spans="1:34" s="8" customFormat="1" ht="17.100000000000001" customHeight="1">
      <c r="A20" s="69" t="s">
        <v>69</v>
      </c>
      <c r="B20" s="69"/>
      <c r="C20" s="69"/>
      <c r="D20" s="69"/>
      <c r="E20" s="69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</row>
    <row r="21" spans="1:34" s="8" customFormat="1" ht="17.100000000000001" customHeight="1">
      <c r="A21" s="72" t="s">
        <v>70</v>
      </c>
      <c r="B21" s="72"/>
      <c r="C21" s="72"/>
      <c r="D21" s="72"/>
      <c r="E21" s="72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4">
        <f>SUM(S17:Z20)</f>
        <v>0</v>
      </c>
      <c r="T21" s="74"/>
      <c r="U21" s="74"/>
      <c r="V21" s="74"/>
      <c r="W21" s="74"/>
      <c r="X21" s="74"/>
      <c r="Y21" s="74"/>
      <c r="Z21" s="74"/>
      <c r="AA21" s="74">
        <f>SUM(AA17:AH20)</f>
        <v>0</v>
      </c>
      <c r="AB21" s="74"/>
      <c r="AC21" s="74"/>
      <c r="AD21" s="74"/>
      <c r="AE21" s="74"/>
      <c r="AF21" s="74"/>
      <c r="AG21" s="74"/>
      <c r="AH21" s="74"/>
    </row>
    <row r="22" spans="1:34" s="8" customFormat="1" ht="15" customHeight="1">
      <c r="A22" s="75" t="s">
        <v>71</v>
      </c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7"/>
    </row>
    <row r="23" spans="1:34" s="8" customFormat="1" ht="15" customHeight="1">
      <c r="A23" s="78" t="s">
        <v>72</v>
      </c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</row>
    <row r="24" spans="1:34" s="8" customFormat="1" ht="15.95" customHeight="1">
      <c r="A24" s="80" t="s">
        <v>73</v>
      </c>
      <c r="B24" s="81" t="s">
        <v>74</v>
      </c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2"/>
      <c r="Q24" s="83"/>
      <c r="R24" s="84"/>
      <c r="S24" s="85"/>
      <c r="T24" s="85"/>
      <c r="U24" s="85"/>
      <c r="V24" s="85"/>
      <c r="W24" s="86"/>
      <c r="X24" s="84"/>
      <c r="Y24" s="85"/>
      <c r="Z24" s="85"/>
      <c r="AA24" s="85"/>
      <c r="AB24" s="85"/>
      <c r="AC24" s="86"/>
      <c r="AD24" s="84"/>
      <c r="AE24" s="85"/>
      <c r="AF24" s="85"/>
      <c r="AG24" s="85"/>
      <c r="AH24" s="85"/>
    </row>
    <row r="25" spans="1:34" s="8" customFormat="1" ht="15.95" customHeight="1">
      <c r="A25" s="80"/>
      <c r="B25" s="87" t="s">
        <v>75</v>
      </c>
      <c r="C25" s="88" t="s">
        <v>76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9"/>
      <c r="Q25" s="90" t="s">
        <v>77</v>
      </c>
      <c r="R25" s="91"/>
      <c r="S25" s="92"/>
      <c r="T25" s="92"/>
      <c r="U25" s="92"/>
      <c r="V25" s="92"/>
      <c r="W25" s="93"/>
      <c r="X25" s="82"/>
      <c r="Y25" s="94"/>
      <c r="Z25" s="94"/>
      <c r="AA25" s="94"/>
      <c r="AB25" s="94"/>
      <c r="AC25" s="93"/>
      <c r="AD25" s="82"/>
      <c r="AE25" s="94"/>
      <c r="AF25" s="94"/>
      <c r="AG25" s="94"/>
      <c r="AH25" s="94"/>
    </row>
    <row r="26" spans="1:34" s="8" customFormat="1" ht="15.95" customHeight="1">
      <c r="A26" s="80"/>
      <c r="B26" s="87" t="s">
        <v>78</v>
      </c>
      <c r="C26" s="95" t="s">
        <v>79</v>
      </c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7"/>
      <c r="Q26" s="90" t="s">
        <v>77</v>
      </c>
      <c r="R26" s="91"/>
      <c r="S26" s="92"/>
      <c r="T26" s="92"/>
      <c r="U26" s="92"/>
      <c r="V26" s="92"/>
      <c r="W26" s="93"/>
      <c r="X26" s="82"/>
      <c r="Y26" s="94"/>
      <c r="Z26" s="94"/>
      <c r="AA26" s="94"/>
      <c r="AB26" s="94"/>
      <c r="AC26" s="93"/>
      <c r="AD26" s="82"/>
      <c r="AE26" s="94"/>
      <c r="AF26" s="94"/>
      <c r="AG26" s="94"/>
      <c r="AH26" s="94"/>
    </row>
    <row r="27" spans="1:34" s="8" customFormat="1" ht="15.95" customHeight="1">
      <c r="A27" s="80"/>
      <c r="B27" s="87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7"/>
      <c r="Q27" s="93"/>
      <c r="R27" s="82"/>
      <c r="S27" s="94"/>
      <c r="T27" s="94"/>
      <c r="U27" s="94"/>
      <c r="V27" s="94"/>
      <c r="W27" s="93"/>
      <c r="X27" s="82"/>
      <c r="Y27" s="94"/>
      <c r="Z27" s="94"/>
      <c r="AA27" s="94"/>
      <c r="AB27" s="94"/>
      <c r="AC27" s="93"/>
      <c r="AD27" s="82"/>
      <c r="AE27" s="94"/>
      <c r="AF27" s="94"/>
      <c r="AG27" s="94"/>
      <c r="AH27" s="94"/>
    </row>
    <row r="28" spans="1:34" s="8" customFormat="1" ht="15.95" customHeight="1">
      <c r="A28" s="80"/>
      <c r="B28" s="87" t="s">
        <v>80</v>
      </c>
      <c r="C28" s="88" t="s">
        <v>81</v>
      </c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2"/>
      <c r="Q28" s="90" t="s">
        <v>77</v>
      </c>
      <c r="R28" s="98"/>
      <c r="S28" s="99"/>
      <c r="T28" s="99"/>
      <c r="U28" s="99"/>
      <c r="V28" s="99"/>
      <c r="W28" s="93"/>
      <c r="X28" s="100"/>
      <c r="Y28" s="101"/>
      <c r="Z28" s="101"/>
      <c r="AA28" s="101"/>
      <c r="AB28" s="101"/>
      <c r="AC28" s="93"/>
      <c r="AD28" s="100"/>
      <c r="AE28" s="101"/>
      <c r="AF28" s="101"/>
      <c r="AG28" s="101"/>
      <c r="AH28" s="101"/>
    </row>
    <row r="29" spans="1:34" s="8" customFormat="1" ht="15.95" customHeight="1">
      <c r="A29" s="80"/>
      <c r="B29" s="8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2"/>
      <c r="Q29" s="93"/>
      <c r="R29" s="100"/>
      <c r="S29" s="101"/>
      <c r="T29" s="101"/>
      <c r="U29" s="101"/>
      <c r="V29" s="101"/>
      <c r="W29" s="93"/>
      <c r="X29" s="100"/>
      <c r="Y29" s="101"/>
      <c r="Z29" s="101"/>
      <c r="AA29" s="101"/>
      <c r="AB29" s="101"/>
      <c r="AC29" s="93"/>
      <c r="AD29" s="100"/>
      <c r="AE29" s="101"/>
      <c r="AF29" s="101"/>
      <c r="AG29" s="101"/>
      <c r="AH29" s="101"/>
    </row>
    <row r="30" spans="1:34" s="8" customFormat="1" ht="15.95" customHeight="1">
      <c r="A30" s="80"/>
      <c r="B30" s="87" t="s">
        <v>82</v>
      </c>
      <c r="C30" s="81" t="s">
        <v>70</v>
      </c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2"/>
      <c r="Q30" s="93"/>
      <c r="R30" s="100"/>
      <c r="S30" s="101"/>
      <c r="T30" s="101"/>
      <c r="U30" s="101"/>
      <c r="V30" s="101"/>
      <c r="W30" s="90" t="s">
        <v>77</v>
      </c>
      <c r="X30" s="100">
        <f>R25+R26+R28</f>
        <v>0</v>
      </c>
      <c r="Y30" s="101"/>
      <c r="Z30" s="101"/>
      <c r="AA30" s="101"/>
      <c r="AB30" s="101"/>
      <c r="AC30" s="93"/>
      <c r="AD30" s="100"/>
      <c r="AE30" s="101"/>
      <c r="AF30" s="101"/>
      <c r="AG30" s="101"/>
      <c r="AH30" s="101"/>
    </row>
    <row r="31" spans="1:34" s="8" customFormat="1" ht="15.95" customHeight="1">
      <c r="A31" s="80" t="s">
        <v>83</v>
      </c>
      <c r="B31" s="88" t="s">
        <v>84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2"/>
      <c r="Q31" s="93"/>
      <c r="R31" s="100"/>
      <c r="S31" s="101"/>
      <c r="T31" s="101"/>
      <c r="U31" s="101"/>
      <c r="V31" s="101"/>
      <c r="W31" s="93"/>
      <c r="X31" s="100"/>
      <c r="Y31" s="101"/>
      <c r="Z31" s="101"/>
      <c r="AA31" s="101"/>
      <c r="AB31" s="101"/>
      <c r="AC31" s="93"/>
      <c r="AD31" s="100"/>
      <c r="AE31" s="101"/>
      <c r="AF31" s="101"/>
      <c r="AG31" s="101"/>
      <c r="AH31" s="101"/>
    </row>
    <row r="32" spans="1:34" s="8" customFormat="1" ht="15.95" customHeight="1">
      <c r="A32" s="80"/>
      <c r="B32" s="102" t="s">
        <v>85</v>
      </c>
      <c r="C32" s="102"/>
      <c r="D32" s="102"/>
      <c r="E32" s="102"/>
      <c r="F32" s="102"/>
      <c r="G32" s="102"/>
      <c r="H32" s="102"/>
      <c r="I32" s="102"/>
      <c r="J32" s="102"/>
      <c r="K32" s="102"/>
      <c r="L32" s="102" t="s">
        <v>77</v>
      </c>
      <c r="M32" s="102"/>
      <c r="N32" s="102"/>
      <c r="O32" s="102"/>
      <c r="P32" s="102"/>
      <c r="Q32" s="93"/>
      <c r="R32" s="100"/>
      <c r="S32" s="101"/>
      <c r="T32" s="101"/>
      <c r="U32" s="101"/>
      <c r="V32" s="101"/>
      <c r="W32" s="93"/>
      <c r="X32" s="100"/>
      <c r="Y32" s="101"/>
      <c r="Z32" s="101"/>
      <c r="AA32" s="101"/>
      <c r="AB32" s="101"/>
      <c r="AC32" s="93"/>
      <c r="AD32" s="100"/>
      <c r="AE32" s="101"/>
      <c r="AF32" s="101"/>
      <c r="AG32" s="101"/>
      <c r="AH32" s="101"/>
    </row>
    <row r="33" spans="1:34" s="8" customFormat="1" ht="15.95" customHeight="1">
      <c r="A33" s="80"/>
      <c r="B33" s="103" t="s">
        <v>8</v>
      </c>
      <c r="C33" s="104"/>
      <c r="D33" s="104"/>
      <c r="E33" s="104"/>
      <c r="F33" s="104"/>
      <c r="G33" s="104"/>
      <c r="H33" s="104"/>
      <c r="I33" s="104"/>
      <c r="J33" s="104"/>
      <c r="K33" s="105"/>
      <c r="L33" s="103"/>
      <c r="M33" s="104"/>
      <c r="N33" s="104"/>
      <c r="O33" s="104"/>
      <c r="P33" s="105"/>
      <c r="Q33" s="87"/>
      <c r="R33" s="100"/>
      <c r="S33" s="101"/>
      <c r="T33" s="101"/>
      <c r="U33" s="101"/>
      <c r="V33" s="101"/>
      <c r="W33" s="93"/>
      <c r="X33" s="100"/>
      <c r="Y33" s="101"/>
      <c r="Z33" s="101"/>
      <c r="AA33" s="101"/>
      <c r="AB33" s="101"/>
      <c r="AC33" s="93"/>
      <c r="AD33" s="100"/>
      <c r="AE33" s="101"/>
      <c r="AF33" s="101"/>
      <c r="AG33" s="101"/>
      <c r="AH33" s="101"/>
    </row>
    <row r="34" spans="1:34" s="8" customFormat="1" ht="15.95" customHeight="1">
      <c r="A34" s="80"/>
      <c r="B34" s="103" t="s">
        <v>86</v>
      </c>
      <c r="C34" s="104"/>
      <c r="D34" s="104"/>
      <c r="E34" s="104"/>
      <c r="F34" s="104"/>
      <c r="G34" s="104"/>
      <c r="H34" s="104"/>
      <c r="I34" s="104"/>
      <c r="J34" s="104"/>
      <c r="K34" s="105"/>
      <c r="L34" s="103">
        <f>[1]SEARCH!V28</f>
        <v>0</v>
      </c>
      <c r="M34" s="104"/>
      <c r="N34" s="104"/>
      <c r="O34" s="104"/>
      <c r="P34" s="105"/>
      <c r="Q34" s="93"/>
      <c r="R34" s="100"/>
      <c r="S34" s="101"/>
      <c r="T34" s="101"/>
      <c r="U34" s="101"/>
      <c r="V34" s="101"/>
      <c r="W34" s="93"/>
      <c r="X34" s="100"/>
      <c r="Y34" s="101"/>
      <c r="Z34" s="101"/>
      <c r="AA34" s="101"/>
      <c r="AB34" s="101"/>
      <c r="AC34" s="93"/>
      <c r="AD34" s="100"/>
      <c r="AE34" s="101"/>
      <c r="AF34" s="101"/>
      <c r="AG34" s="101"/>
      <c r="AH34" s="101"/>
    </row>
    <row r="35" spans="1:34" s="8" customFormat="1" ht="15.95" customHeight="1">
      <c r="A35" s="80"/>
      <c r="B35" s="103" t="s">
        <v>87</v>
      </c>
      <c r="C35" s="104"/>
      <c r="D35" s="104"/>
      <c r="E35" s="104"/>
      <c r="F35" s="104"/>
      <c r="G35" s="104"/>
      <c r="H35" s="104"/>
      <c r="I35" s="104"/>
      <c r="J35" s="104"/>
      <c r="K35" s="105"/>
      <c r="L35" s="103">
        <f>[1]SEARCH!V29</f>
        <v>0</v>
      </c>
      <c r="M35" s="104"/>
      <c r="N35" s="104"/>
      <c r="O35" s="104"/>
      <c r="P35" s="105"/>
      <c r="Q35" s="93"/>
      <c r="R35" s="100"/>
      <c r="S35" s="101"/>
      <c r="T35" s="101"/>
      <c r="U35" s="101"/>
      <c r="V35" s="101"/>
      <c r="W35" s="90" t="s">
        <v>77</v>
      </c>
      <c r="X35" s="100">
        <f>SUM(L33:P35)</f>
        <v>0</v>
      </c>
      <c r="Y35" s="101"/>
      <c r="Z35" s="101"/>
      <c r="AA35" s="101"/>
      <c r="AB35" s="101"/>
      <c r="AC35" s="93"/>
      <c r="AD35" s="100"/>
      <c r="AE35" s="101"/>
      <c r="AF35" s="101"/>
      <c r="AG35" s="101"/>
      <c r="AH35" s="101"/>
    </row>
    <row r="36" spans="1:34" s="8" customFormat="1" ht="15.95" customHeight="1">
      <c r="A36" s="80" t="s">
        <v>88</v>
      </c>
      <c r="B36" s="106" t="s">
        <v>89</v>
      </c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84"/>
      <c r="Q36" s="93"/>
      <c r="R36" s="100"/>
      <c r="S36" s="101"/>
      <c r="T36" s="101"/>
      <c r="U36" s="101"/>
      <c r="V36" s="101"/>
      <c r="W36" s="90" t="s">
        <v>77</v>
      </c>
      <c r="X36" s="100">
        <f>X30-X35</f>
        <v>0</v>
      </c>
      <c r="Y36" s="101"/>
      <c r="Z36" s="101"/>
      <c r="AA36" s="101"/>
      <c r="AB36" s="101"/>
      <c r="AC36" s="93"/>
      <c r="AD36" s="100"/>
      <c r="AE36" s="101"/>
      <c r="AF36" s="101"/>
      <c r="AG36" s="101"/>
      <c r="AH36" s="101"/>
    </row>
    <row r="37" spans="1:34" s="8" customFormat="1" ht="15.95" customHeight="1">
      <c r="A37" s="80" t="s">
        <v>90</v>
      </c>
      <c r="B37" s="81" t="s">
        <v>91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2"/>
      <c r="Q37" s="93"/>
      <c r="R37" s="100"/>
      <c r="S37" s="101"/>
      <c r="T37" s="101"/>
      <c r="U37" s="101"/>
      <c r="V37" s="101"/>
      <c r="W37" s="93"/>
      <c r="X37" s="100"/>
      <c r="Y37" s="101"/>
      <c r="Z37" s="101"/>
      <c r="AA37" s="101"/>
      <c r="AB37" s="101"/>
      <c r="AC37" s="93"/>
      <c r="AD37" s="100"/>
      <c r="AE37" s="101"/>
      <c r="AF37" s="101"/>
      <c r="AG37" s="101"/>
      <c r="AH37" s="101"/>
    </row>
    <row r="38" spans="1:34" s="8" customFormat="1" ht="15.95" customHeight="1">
      <c r="A38" s="80"/>
      <c r="B38" s="87" t="s">
        <v>75</v>
      </c>
      <c r="C38" s="81" t="s">
        <v>92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2"/>
      <c r="Q38" s="90" t="s">
        <v>77</v>
      </c>
      <c r="R38" s="98"/>
      <c r="S38" s="99"/>
      <c r="T38" s="99"/>
      <c r="U38" s="99"/>
      <c r="V38" s="99"/>
      <c r="W38" s="93"/>
      <c r="X38" s="100"/>
      <c r="Y38" s="101"/>
      <c r="Z38" s="101"/>
      <c r="AA38" s="101"/>
      <c r="AB38" s="101"/>
      <c r="AC38" s="93"/>
      <c r="AD38" s="100"/>
      <c r="AE38" s="101"/>
      <c r="AF38" s="101"/>
      <c r="AG38" s="101"/>
      <c r="AH38" s="101"/>
    </row>
    <row r="39" spans="1:34" s="8" customFormat="1" ht="15.95" customHeight="1">
      <c r="A39" s="80"/>
      <c r="B39" s="87" t="s">
        <v>78</v>
      </c>
      <c r="C39" s="81" t="s">
        <v>93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2"/>
      <c r="Q39" s="90" t="s">
        <v>77</v>
      </c>
      <c r="R39" s="98"/>
      <c r="S39" s="99"/>
      <c r="T39" s="99"/>
      <c r="U39" s="99"/>
      <c r="V39" s="99"/>
      <c r="W39" s="93"/>
      <c r="X39" s="100"/>
      <c r="Y39" s="101"/>
      <c r="Z39" s="101"/>
      <c r="AA39" s="101"/>
      <c r="AB39" s="101"/>
      <c r="AC39" s="93"/>
      <c r="AD39" s="100"/>
      <c r="AE39" s="101"/>
      <c r="AF39" s="101"/>
      <c r="AG39" s="101"/>
      <c r="AH39" s="101"/>
    </row>
    <row r="40" spans="1:34" s="8" customFormat="1" ht="15.95" customHeight="1">
      <c r="A40" s="80" t="s">
        <v>94</v>
      </c>
      <c r="B40" s="81" t="s">
        <v>95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2"/>
      <c r="Q40" s="93"/>
      <c r="R40" s="100"/>
      <c r="S40" s="101"/>
      <c r="T40" s="101"/>
      <c r="U40" s="101"/>
      <c r="V40" s="101"/>
      <c r="W40" s="90" t="s">
        <v>77</v>
      </c>
      <c r="X40" s="100">
        <f>SUM(R38:V39)</f>
        <v>0</v>
      </c>
      <c r="Y40" s="101"/>
      <c r="Z40" s="101"/>
      <c r="AA40" s="101"/>
      <c r="AB40" s="101"/>
      <c r="AC40" s="93"/>
      <c r="AD40" s="100"/>
      <c r="AE40" s="101"/>
      <c r="AF40" s="101"/>
      <c r="AG40" s="101"/>
      <c r="AH40" s="101"/>
    </row>
    <row r="41" spans="1:34" s="8" customFormat="1" ht="15.95" customHeight="1">
      <c r="A41" s="80" t="s">
        <v>96</v>
      </c>
      <c r="B41" s="88" t="s">
        <v>97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2"/>
      <c r="Q41" s="93"/>
      <c r="R41" s="100"/>
      <c r="S41" s="101"/>
      <c r="T41" s="101"/>
      <c r="U41" s="101"/>
      <c r="V41" s="101"/>
      <c r="W41" s="93"/>
      <c r="X41" s="100"/>
      <c r="Y41" s="101"/>
      <c r="Z41" s="101"/>
      <c r="AA41" s="101"/>
      <c r="AB41" s="101"/>
      <c r="AC41" s="90" t="s">
        <v>77</v>
      </c>
      <c r="AD41" s="100">
        <f>X36-X40</f>
        <v>0</v>
      </c>
      <c r="AE41" s="101"/>
      <c r="AF41" s="101"/>
      <c r="AG41" s="101"/>
      <c r="AH41" s="101"/>
    </row>
    <row r="42" spans="1:34" s="8" customFormat="1" ht="15.95" customHeight="1">
      <c r="A42" s="80" t="s">
        <v>98</v>
      </c>
      <c r="B42" s="88" t="s">
        <v>99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2"/>
      <c r="Q42" s="93"/>
      <c r="R42" s="100"/>
      <c r="S42" s="101"/>
      <c r="T42" s="101"/>
      <c r="U42" s="101"/>
      <c r="V42" s="101"/>
      <c r="W42" s="93"/>
      <c r="X42" s="100"/>
      <c r="Y42" s="101"/>
      <c r="Z42" s="101"/>
      <c r="AA42" s="101"/>
      <c r="AB42" s="101"/>
      <c r="AC42" s="93"/>
      <c r="AD42" s="100"/>
      <c r="AE42" s="101"/>
      <c r="AF42" s="101"/>
      <c r="AG42" s="101"/>
      <c r="AH42" s="101"/>
    </row>
    <row r="43" spans="1:34" s="8" customFormat="1" ht="15.95" customHeight="1">
      <c r="A43" s="80"/>
      <c r="B43" s="102" t="s">
        <v>100</v>
      </c>
      <c r="C43" s="102"/>
      <c r="D43" s="102"/>
      <c r="E43" s="102"/>
      <c r="F43" s="102"/>
      <c r="G43" s="102"/>
      <c r="H43" s="102"/>
      <c r="I43" s="102"/>
      <c r="J43" s="102"/>
      <c r="K43" s="102" t="s">
        <v>77</v>
      </c>
      <c r="L43" s="102"/>
      <c r="M43" s="102"/>
      <c r="N43" s="102"/>
      <c r="O43" s="102"/>
      <c r="P43" s="102"/>
      <c r="Q43" s="93"/>
      <c r="R43" s="100"/>
      <c r="S43" s="101"/>
      <c r="T43" s="101"/>
      <c r="U43" s="101"/>
      <c r="V43" s="101"/>
      <c r="W43" s="93"/>
      <c r="X43" s="100"/>
      <c r="Y43" s="101"/>
      <c r="Z43" s="101"/>
      <c r="AA43" s="101"/>
      <c r="AB43" s="101"/>
      <c r="AC43" s="93"/>
      <c r="AD43" s="100"/>
      <c r="AE43" s="101"/>
      <c r="AF43" s="101"/>
      <c r="AG43" s="101"/>
      <c r="AH43" s="101"/>
    </row>
    <row r="44" spans="1:34" s="8" customFormat="1" ht="15.95" customHeight="1">
      <c r="A44" s="80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93"/>
      <c r="R44" s="100"/>
      <c r="S44" s="101"/>
      <c r="T44" s="101"/>
      <c r="U44" s="101"/>
      <c r="V44" s="101"/>
      <c r="W44" s="93"/>
      <c r="X44" s="100"/>
      <c r="Y44" s="101"/>
      <c r="Z44" s="101"/>
      <c r="AA44" s="101"/>
      <c r="AB44" s="101"/>
      <c r="AC44" s="93"/>
      <c r="AD44" s="100"/>
      <c r="AE44" s="101"/>
      <c r="AF44" s="101"/>
      <c r="AG44" s="101"/>
      <c r="AH44" s="101"/>
    </row>
    <row r="45" spans="1:34" s="8" customFormat="1" ht="15.95" customHeight="1">
      <c r="A45" s="80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93"/>
      <c r="R45" s="100"/>
      <c r="S45" s="101"/>
      <c r="T45" s="101"/>
      <c r="U45" s="101"/>
      <c r="V45" s="101"/>
      <c r="W45" s="90" t="s">
        <v>77</v>
      </c>
      <c r="X45" s="100">
        <f>SUM(K44:P45)</f>
        <v>0</v>
      </c>
      <c r="Y45" s="101"/>
      <c r="Z45" s="101"/>
      <c r="AA45" s="101"/>
      <c r="AB45" s="101"/>
      <c r="AC45" s="93"/>
      <c r="AD45" s="100"/>
      <c r="AE45" s="101"/>
      <c r="AF45" s="101"/>
      <c r="AG45" s="101"/>
      <c r="AH45" s="101"/>
    </row>
    <row r="46" spans="1:34" s="8" customFormat="1" ht="15.95" customHeight="1">
      <c r="A46" s="80" t="s">
        <v>101</v>
      </c>
      <c r="B46" s="106" t="s">
        <v>102</v>
      </c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84"/>
      <c r="Q46" s="93"/>
      <c r="R46" s="100"/>
      <c r="S46" s="101"/>
      <c r="T46" s="101"/>
      <c r="U46" s="101"/>
      <c r="V46" s="101"/>
      <c r="W46" s="93"/>
      <c r="X46" s="100"/>
      <c r="Y46" s="101"/>
      <c r="Z46" s="101"/>
      <c r="AA46" s="101"/>
      <c r="AB46" s="101"/>
      <c r="AC46" s="90" t="s">
        <v>77</v>
      </c>
      <c r="AD46" s="100">
        <f>AD41+X45</f>
        <v>0</v>
      </c>
      <c r="AE46" s="101"/>
      <c r="AF46" s="101"/>
      <c r="AG46" s="101"/>
      <c r="AH46" s="101"/>
    </row>
    <row r="47" spans="1:34" s="8" customFormat="1" ht="15.95" customHeight="1">
      <c r="A47" s="107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9"/>
      <c r="Q47" s="110"/>
      <c r="R47" s="111"/>
      <c r="S47" s="112"/>
      <c r="T47" s="112"/>
      <c r="U47" s="112"/>
      <c r="V47" s="112"/>
      <c r="W47" s="110"/>
      <c r="X47" s="111"/>
      <c r="Y47" s="112"/>
      <c r="Z47" s="112"/>
      <c r="AA47" s="112"/>
      <c r="AB47" s="112"/>
      <c r="AC47" s="110"/>
      <c r="AD47" s="111"/>
      <c r="AE47" s="112"/>
      <c r="AF47" s="112"/>
      <c r="AG47" s="112"/>
      <c r="AH47" s="112"/>
    </row>
    <row r="48" spans="1:34" s="8" customFormat="1" ht="15" customHeight="1">
      <c r="A48" s="113"/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4"/>
    </row>
    <row r="49" spans="1:34" s="8" customFormat="1" ht="15" customHeight="1">
      <c r="A49" s="115"/>
      <c r="B49" s="116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7"/>
      <c r="Q49" s="86"/>
      <c r="R49" s="118"/>
      <c r="S49" s="119"/>
      <c r="T49" s="119"/>
      <c r="U49" s="119"/>
      <c r="V49" s="119"/>
      <c r="W49" s="86"/>
      <c r="X49" s="106"/>
      <c r="Y49" s="106"/>
      <c r="Z49" s="106"/>
      <c r="AA49" s="106"/>
      <c r="AB49" s="84"/>
      <c r="AC49" s="86"/>
      <c r="AD49" s="106"/>
      <c r="AE49" s="106"/>
      <c r="AF49" s="106"/>
      <c r="AG49" s="106"/>
      <c r="AH49" s="84"/>
    </row>
    <row r="50" spans="1:34" s="8" customFormat="1" ht="15" customHeight="1">
      <c r="A50" s="80" t="s">
        <v>103</v>
      </c>
      <c r="B50" s="88" t="s">
        <v>104</v>
      </c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2"/>
      <c r="Q50" s="93"/>
      <c r="R50" s="100"/>
      <c r="S50" s="101"/>
      <c r="T50" s="101"/>
      <c r="U50" s="101"/>
      <c r="V50" s="101"/>
      <c r="W50" s="93"/>
      <c r="X50" s="82"/>
      <c r="Y50" s="94"/>
      <c r="Z50" s="94"/>
      <c r="AA50" s="94"/>
      <c r="AB50" s="94"/>
      <c r="AC50" s="120"/>
      <c r="AD50" s="121"/>
      <c r="AE50" s="121"/>
      <c r="AF50" s="121"/>
      <c r="AG50" s="121"/>
      <c r="AH50" s="122"/>
    </row>
    <row r="51" spans="1:34" s="8" customFormat="1" ht="15" customHeight="1">
      <c r="A51" s="123"/>
      <c r="B51" s="81" t="s">
        <v>105</v>
      </c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2"/>
      <c r="Q51" s="93"/>
      <c r="R51" s="100"/>
      <c r="S51" s="101"/>
      <c r="T51" s="101"/>
      <c r="U51" s="101"/>
      <c r="V51" s="101"/>
      <c r="W51" s="93"/>
      <c r="X51" s="82"/>
      <c r="Y51" s="94"/>
      <c r="Z51" s="94"/>
      <c r="AA51" s="94"/>
      <c r="AB51" s="94"/>
      <c r="AC51" s="93"/>
      <c r="AD51" s="82"/>
      <c r="AE51" s="94"/>
      <c r="AF51" s="94"/>
      <c r="AG51" s="94"/>
      <c r="AH51" s="94"/>
    </row>
    <row r="52" spans="1:34" s="8" customFormat="1" ht="15" customHeight="1">
      <c r="A52" s="123"/>
      <c r="B52" s="87" t="s">
        <v>106</v>
      </c>
      <c r="C52" s="81" t="s">
        <v>107</v>
      </c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2"/>
      <c r="Q52" s="93"/>
      <c r="R52" s="100"/>
      <c r="S52" s="101"/>
      <c r="T52" s="101"/>
      <c r="U52" s="101"/>
      <c r="V52" s="101"/>
      <c r="W52" s="93"/>
      <c r="X52" s="82" t="s">
        <v>108</v>
      </c>
      <c r="Y52" s="94"/>
      <c r="Z52" s="94"/>
      <c r="AA52" s="94"/>
      <c r="AB52" s="94"/>
      <c r="AC52" s="120" t="s">
        <v>109</v>
      </c>
      <c r="AD52" s="121"/>
      <c r="AE52" s="121"/>
      <c r="AF52" s="121"/>
      <c r="AG52" s="121"/>
      <c r="AH52" s="122"/>
    </row>
    <row r="53" spans="1:34" s="8" customFormat="1" ht="15" customHeight="1">
      <c r="A53" s="123"/>
      <c r="B53" s="121" t="s">
        <v>110</v>
      </c>
      <c r="C53" s="121"/>
      <c r="D53" s="124" t="s">
        <v>20</v>
      </c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5"/>
      <c r="Q53" s="90" t="s">
        <v>77</v>
      </c>
      <c r="R53" s="98"/>
      <c r="S53" s="99"/>
      <c r="T53" s="99"/>
      <c r="U53" s="99"/>
      <c r="V53" s="99"/>
      <c r="W53" s="93"/>
      <c r="X53" s="82"/>
      <c r="Y53" s="94"/>
      <c r="Z53" s="94"/>
      <c r="AA53" s="94"/>
      <c r="AB53" s="94"/>
      <c r="AC53" s="93"/>
      <c r="AD53" s="82"/>
      <c r="AE53" s="94"/>
      <c r="AF53" s="94"/>
      <c r="AG53" s="94"/>
      <c r="AH53" s="94"/>
    </row>
    <row r="54" spans="1:34" s="8" customFormat="1" ht="15" customHeight="1">
      <c r="A54" s="123"/>
      <c r="B54" s="121" t="s">
        <v>111</v>
      </c>
      <c r="C54" s="121"/>
      <c r="D54" s="126" t="s">
        <v>112</v>
      </c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7"/>
      <c r="Q54" s="90" t="s">
        <v>77</v>
      </c>
      <c r="R54" s="98"/>
      <c r="S54" s="99"/>
      <c r="T54" s="99"/>
      <c r="U54" s="99"/>
      <c r="V54" s="99"/>
      <c r="W54" s="93"/>
      <c r="X54" s="82"/>
      <c r="Y54" s="94"/>
      <c r="Z54" s="94"/>
      <c r="AA54" s="94"/>
      <c r="AB54" s="94"/>
      <c r="AC54" s="93"/>
      <c r="AD54" s="82"/>
      <c r="AE54" s="94"/>
      <c r="AF54" s="94"/>
      <c r="AG54" s="94"/>
      <c r="AH54" s="94"/>
    </row>
    <row r="55" spans="1:34" s="8" customFormat="1" ht="15" customHeight="1">
      <c r="A55" s="123"/>
      <c r="B55" s="121" t="s">
        <v>113</v>
      </c>
      <c r="C55" s="121"/>
      <c r="D55" s="126" t="s">
        <v>114</v>
      </c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7"/>
      <c r="Q55" s="90" t="s">
        <v>77</v>
      </c>
      <c r="R55" s="98"/>
      <c r="S55" s="99"/>
      <c r="T55" s="99"/>
      <c r="U55" s="99"/>
      <c r="V55" s="99"/>
      <c r="W55" s="93"/>
      <c r="X55" s="82"/>
      <c r="Y55" s="94"/>
      <c r="Z55" s="94"/>
      <c r="AA55" s="94"/>
      <c r="AB55" s="94"/>
      <c r="AC55" s="93"/>
      <c r="AD55" s="82"/>
      <c r="AE55" s="94"/>
      <c r="AF55" s="94"/>
      <c r="AG55" s="94"/>
      <c r="AH55" s="94"/>
    </row>
    <row r="56" spans="1:34" s="8" customFormat="1" ht="15" customHeight="1">
      <c r="A56" s="123"/>
      <c r="B56" s="121" t="s">
        <v>115</v>
      </c>
      <c r="C56" s="121"/>
      <c r="D56" s="126" t="s">
        <v>26</v>
      </c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7"/>
      <c r="Q56" s="90" t="s">
        <v>77</v>
      </c>
      <c r="R56" s="98"/>
      <c r="S56" s="99"/>
      <c r="T56" s="99"/>
      <c r="U56" s="99"/>
      <c r="V56" s="99"/>
      <c r="W56" s="93"/>
      <c r="X56" s="82"/>
      <c r="Y56" s="94"/>
      <c r="Z56" s="94"/>
      <c r="AA56" s="94"/>
      <c r="AB56" s="94"/>
      <c r="AC56" s="93"/>
      <c r="AD56" s="82"/>
      <c r="AE56" s="94"/>
      <c r="AF56" s="94"/>
      <c r="AG56" s="94"/>
      <c r="AH56" s="94"/>
    </row>
    <row r="57" spans="1:34" s="8" customFormat="1" ht="15" customHeight="1">
      <c r="A57" s="123"/>
      <c r="B57" s="121" t="s">
        <v>116</v>
      </c>
      <c r="C57" s="121"/>
      <c r="D57" s="126" t="s">
        <v>30</v>
      </c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7"/>
      <c r="Q57" s="90" t="s">
        <v>77</v>
      </c>
      <c r="R57" s="98"/>
      <c r="S57" s="99"/>
      <c r="T57" s="99"/>
      <c r="U57" s="99"/>
      <c r="V57" s="99"/>
      <c r="W57" s="93"/>
      <c r="X57" s="82"/>
      <c r="Y57" s="94"/>
      <c r="Z57" s="94"/>
      <c r="AA57" s="94"/>
      <c r="AB57" s="94"/>
      <c r="AC57" s="93"/>
      <c r="AD57" s="82"/>
      <c r="AE57" s="94"/>
      <c r="AF57" s="94"/>
      <c r="AG57" s="94"/>
      <c r="AH57" s="94"/>
    </row>
    <row r="58" spans="1:34" s="8" customFormat="1" ht="15" customHeight="1">
      <c r="A58" s="123"/>
      <c r="B58" s="121" t="s">
        <v>117</v>
      </c>
      <c r="C58" s="121"/>
      <c r="D58" s="126" t="s">
        <v>29</v>
      </c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7"/>
      <c r="Q58" s="90" t="s">
        <v>77</v>
      </c>
      <c r="R58" s="98"/>
      <c r="S58" s="99"/>
      <c r="T58" s="99"/>
      <c r="U58" s="99"/>
      <c r="V58" s="99"/>
      <c r="W58" s="93"/>
      <c r="X58" s="100"/>
      <c r="Y58" s="101"/>
      <c r="Z58" s="101"/>
      <c r="AA58" s="101"/>
      <c r="AB58" s="101"/>
      <c r="AC58" s="93"/>
      <c r="AD58" s="100"/>
      <c r="AE58" s="101"/>
      <c r="AF58" s="101"/>
      <c r="AG58" s="101"/>
      <c r="AH58" s="101"/>
    </row>
    <row r="59" spans="1:34" s="8" customFormat="1" ht="15" customHeight="1">
      <c r="A59" s="123"/>
      <c r="B59" s="121" t="s">
        <v>118</v>
      </c>
      <c r="C59" s="121"/>
      <c r="D59" s="126" t="s">
        <v>33</v>
      </c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7"/>
      <c r="Q59" s="90" t="s">
        <v>77</v>
      </c>
      <c r="R59" s="98"/>
      <c r="S59" s="99"/>
      <c r="T59" s="99"/>
      <c r="U59" s="99"/>
      <c r="V59" s="99"/>
      <c r="W59" s="90"/>
      <c r="X59" s="100"/>
      <c r="Y59" s="101"/>
      <c r="Z59" s="101"/>
      <c r="AA59" s="101"/>
      <c r="AB59" s="101"/>
      <c r="AC59" s="90"/>
      <c r="AD59" s="100"/>
      <c r="AE59" s="101"/>
      <c r="AF59" s="101"/>
      <c r="AG59" s="101"/>
      <c r="AH59" s="101"/>
    </row>
    <row r="60" spans="1:34" s="8" customFormat="1" ht="15" customHeight="1">
      <c r="A60" s="123"/>
      <c r="B60" s="121" t="s">
        <v>118</v>
      </c>
      <c r="C60" s="121"/>
      <c r="D60" s="128" t="s">
        <v>119</v>
      </c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  <c r="P60" s="129"/>
      <c r="Q60" s="93" t="s">
        <v>77</v>
      </c>
      <c r="R60" s="98"/>
      <c r="S60" s="99"/>
      <c r="T60" s="99"/>
      <c r="U60" s="99"/>
      <c r="V60" s="99"/>
      <c r="W60" s="90"/>
      <c r="X60" s="98"/>
      <c r="Y60" s="99"/>
      <c r="Z60" s="99"/>
      <c r="AA60" s="99"/>
      <c r="AB60" s="99"/>
      <c r="AC60" s="90" t="s">
        <v>77</v>
      </c>
      <c r="AD60" s="98"/>
      <c r="AE60" s="99"/>
      <c r="AF60" s="99"/>
      <c r="AG60" s="99"/>
      <c r="AH60" s="99"/>
    </row>
    <row r="61" spans="1:34" s="8" customFormat="1" ht="15" customHeight="1">
      <c r="A61" s="123"/>
      <c r="B61" s="121" t="s">
        <v>120</v>
      </c>
      <c r="C61" s="121"/>
      <c r="D61" s="81" t="s">
        <v>121</v>
      </c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93" t="s">
        <v>77</v>
      </c>
      <c r="R61" s="100"/>
      <c r="S61" s="101"/>
      <c r="T61" s="101"/>
      <c r="U61" s="101"/>
      <c r="V61" s="101"/>
      <c r="W61" s="90" t="s">
        <v>77</v>
      </c>
      <c r="X61" s="98">
        <f>SUM(R53:V61)</f>
        <v>0</v>
      </c>
      <c r="Y61" s="99"/>
      <c r="Z61" s="99"/>
      <c r="AA61" s="99"/>
      <c r="AB61" s="99"/>
      <c r="AC61" s="90" t="s">
        <v>77</v>
      </c>
      <c r="AD61" s="98">
        <f>IF(X61+(R69-AD69)&gt;150000,150000,X61+(R69-AD69))</f>
        <v>0</v>
      </c>
      <c r="AE61" s="99"/>
      <c r="AF61" s="99"/>
      <c r="AG61" s="99"/>
      <c r="AH61" s="99"/>
    </row>
    <row r="62" spans="1:34" s="8" customFormat="1" ht="15" customHeight="1">
      <c r="A62" s="123"/>
      <c r="B62" s="130" t="s">
        <v>122</v>
      </c>
      <c r="C62" s="130"/>
      <c r="D62" s="131" t="s">
        <v>123</v>
      </c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93"/>
      <c r="R62" s="100"/>
      <c r="S62" s="101"/>
      <c r="T62" s="101"/>
      <c r="U62" s="101"/>
      <c r="V62" s="101"/>
      <c r="W62" s="93"/>
      <c r="X62" s="100"/>
      <c r="Y62" s="101"/>
      <c r="Z62" s="101"/>
      <c r="AA62" s="101"/>
      <c r="AB62" s="101"/>
      <c r="AC62" s="90"/>
      <c r="AD62" s="100"/>
      <c r="AE62" s="101"/>
      <c r="AF62" s="101"/>
      <c r="AG62" s="101"/>
      <c r="AH62" s="101"/>
    </row>
    <row r="63" spans="1:34" s="8" customFormat="1" ht="15" customHeight="1">
      <c r="A63" s="123"/>
      <c r="B63" s="130"/>
      <c r="C63" s="130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93"/>
      <c r="R63" s="100"/>
      <c r="S63" s="101"/>
      <c r="T63" s="101"/>
      <c r="U63" s="101"/>
      <c r="V63" s="101"/>
      <c r="W63" s="93"/>
      <c r="X63" s="100"/>
      <c r="Y63" s="101"/>
      <c r="Z63" s="101"/>
      <c r="AA63" s="101"/>
      <c r="AB63" s="101"/>
      <c r="AC63" s="93"/>
      <c r="AD63" s="100"/>
      <c r="AE63" s="101"/>
      <c r="AF63" s="101"/>
      <c r="AG63" s="101"/>
      <c r="AH63" s="101"/>
    </row>
    <row r="64" spans="1:34" s="8" customFormat="1" ht="15" customHeight="1">
      <c r="A64" s="123"/>
      <c r="B64" s="130">
        <v>2</v>
      </c>
      <c r="C64" s="130"/>
      <c r="D64" s="131" t="s">
        <v>124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93"/>
      <c r="R64" s="100"/>
      <c r="S64" s="101"/>
      <c r="T64" s="101"/>
      <c r="U64" s="101"/>
      <c r="V64" s="101"/>
      <c r="W64" s="93"/>
      <c r="X64" s="100"/>
      <c r="Y64" s="101"/>
      <c r="Z64" s="101"/>
      <c r="AA64" s="101"/>
      <c r="AB64" s="101"/>
      <c r="AC64" s="93"/>
      <c r="AD64" s="100"/>
      <c r="AE64" s="101"/>
      <c r="AF64" s="101"/>
      <c r="AG64" s="101"/>
      <c r="AH64" s="101"/>
    </row>
    <row r="65" spans="1:36" s="8" customFormat="1" ht="15" customHeight="1">
      <c r="A65" s="123"/>
      <c r="B65" s="130"/>
      <c r="C65" s="130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93"/>
      <c r="R65" s="100"/>
      <c r="S65" s="101"/>
      <c r="T65" s="101"/>
      <c r="U65" s="101"/>
      <c r="V65" s="101"/>
      <c r="W65" s="93"/>
      <c r="X65" s="100"/>
      <c r="Y65" s="101"/>
      <c r="Z65" s="101"/>
      <c r="AA65" s="101"/>
      <c r="AB65" s="101"/>
      <c r="AC65" s="93"/>
      <c r="AD65" s="100"/>
      <c r="AE65" s="101"/>
      <c r="AF65" s="101"/>
      <c r="AG65" s="101"/>
      <c r="AH65" s="101"/>
    </row>
    <row r="66" spans="1:36" s="8" customFormat="1" ht="15" customHeight="1">
      <c r="A66" s="123"/>
      <c r="B66" s="133"/>
      <c r="C66" s="133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93"/>
      <c r="R66" s="100"/>
      <c r="S66" s="101"/>
      <c r="T66" s="101"/>
      <c r="U66" s="101"/>
      <c r="V66" s="101"/>
      <c r="W66" s="93"/>
      <c r="X66" s="100"/>
      <c r="Y66" s="101"/>
      <c r="Z66" s="101"/>
      <c r="AA66" s="101"/>
      <c r="AB66" s="101"/>
      <c r="AC66" s="93"/>
      <c r="AD66" s="100"/>
      <c r="AE66" s="101"/>
      <c r="AF66" s="101"/>
      <c r="AG66" s="101"/>
      <c r="AH66" s="101"/>
    </row>
    <row r="67" spans="1:36" s="8" customFormat="1" ht="15" customHeight="1">
      <c r="A67" s="123"/>
      <c r="B67" s="87" t="s">
        <v>125</v>
      </c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93"/>
      <c r="R67" s="100"/>
      <c r="S67" s="101"/>
      <c r="T67" s="101"/>
      <c r="U67" s="101"/>
      <c r="V67" s="101"/>
      <c r="W67" s="93"/>
      <c r="X67" s="100"/>
      <c r="Y67" s="101"/>
      <c r="Z67" s="101"/>
      <c r="AA67" s="101"/>
      <c r="AB67" s="101"/>
      <c r="AC67" s="93"/>
      <c r="AD67" s="100"/>
      <c r="AE67" s="101"/>
      <c r="AF67" s="101"/>
      <c r="AG67" s="101"/>
      <c r="AH67" s="101"/>
    </row>
    <row r="68" spans="1:36" s="8" customFormat="1" ht="15" customHeight="1">
      <c r="A68" s="123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93"/>
      <c r="R68" s="100"/>
      <c r="S68" s="101"/>
      <c r="T68" s="101"/>
      <c r="U68" s="101"/>
      <c r="V68" s="101"/>
      <c r="W68" s="93"/>
      <c r="X68" s="100"/>
      <c r="Y68" s="101"/>
      <c r="Z68" s="101"/>
      <c r="AA68" s="101"/>
      <c r="AB68" s="101"/>
      <c r="AC68" s="93"/>
      <c r="AD68" s="100"/>
      <c r="AE68" s="101"/>
      <c r="AF68" s="101"/>
      <c r="AG68" s="101"/>
      <c r="AH68" s="101"/>
    </row>
    <row r="69" spans="1:36" s="8" customFormat="1" ht="15" customHeight="1">
      <c r="A69" s="123"/>
      <c r="B69" s="121" t="s">
        <v>110</v>
      </c>
      <c r="C69" s="121"/>
      <c r="D69" s="124" t="s">
        <v>126</v>
      </c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5"/>
      <c r="Q69" s="90" t="s">
        <v>77</v>
      </c>
      <c r="R69" s="98"/>
      <c r="S69" s="99"/>
      <c r="T69" s="99"/>
      <c r="U69" s="99"/>
      <c r="V69" s="99"/>
      <c r="W69" s="90" t="s">
        <v>77</v>
      </c>
      <c r="X69" s="98"/>
      <c r="Y69" s="99"/>
      <c r="Z69" s="99"/>
      <c r="AA69" s="99"/>
      <c r="AB69" s="99"/>
      <c r="AC69" s="90" t="s">
        <v>77</v>
      </c>
      <c r="AD69" s="98">
        <f>IF(R69&gt;50000,50000,R69)</f>
        <v>0</v>
      </c>
      <c r="AE69" s="99"/>
      <c r="AF69" s="99"/>
      <c r="AG69" s="99"/>
      <c r="AH69" s="99"/>
    </row>
    <row r="70" spans="1:36" s="8" customFormat="1" ht="19.5" customHeight="1">
      <c r="A70" s="123"/>
      <c r="B70" s="121"/>
      <c r="C70" s="121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5"/>
      <c r="Q70" s="90" t="s">
        <v>77</v>
      </c>
      <c r="R70" s="98"/>
      <c r="S70" s="99"/>
      <c r="T70" s="99"/>
      <c r="U70" s="99"/>
      <c r="V70" s="99"/>
      <c r="W70" s="90" t="s">
        <v>77</v>
      </c>
      <c r="X70" s="98"/>
      <c r="Y70" s="99"/>
      <c r="Z70" s="99"/>
      <c r="AA70" s="99"/>
      <c r="AB70" s="99"/>
      <c r="AC70" s="90" t="s">
        <v>77</v>
      </c>
      <c r="AD70" s="98"/>
      <c r="AE70" s="99"/>
      <c r="AF70" s="99"/>
      <c r="AG70" s="99"/>
      <c r="AH70" s="99"/>
    </row>
    <row r="71" spans="1:36" s="8" customFormat="1" ht="15" customHeight="1">
      <c r="A71" s="123"/>
      <c r="B71" s="87" t="s">
        <v>127</v>
      </c>
      <c r="C71" s="134" t="s">
        <v>128</v>
      </c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6"/>
      <c r="Q71" s="90" t="s">
        <v>77</v>
      </c>
      <c r="R71" s="98"/>
      <c r="S71" s="99"/>
      <c r="T71" s="99"/>
      <c r="U71" s="99"/>
      <c r="V71" s="99"/>
      <c r="W71" s="90" t="s">
        <v>77</v>
      </c>
      <c r="X71" s="98"/>
      <c r="Y71" s="99"/>
      <c r="Z71" s="99"/>
      <c r="AA71" s="99"/>
      <c r="AB71" s="99"/>
      <c r="AC71" s="90" t="s">
        <v>77</v>
      </c>
      <c r="AD71" s="98"/>
      <c r="AE71" s="99"/>
      <c r="AF71" s="99"/>
      <c r="AG71" s="99"/>
      <c r="AH71" s="99"/>
    </row>
    <row r="72" spans="1:36" s="8" customFormat="1" ht="15" customHeight="1">
      <c r="A72" s="123"/>
      <c r="B72" s="121" t="s">
        <v>110</v>
      </c>
      <c r="C72" s="121"/>
      <c r="D72" s="124" t="s">
        <v>21</v>
      </c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5"/>
      <c r="Q72" s="90" t="s">
        <v>77</v>
      </c>
      <c r="R72" s="98">
        <f>[1]SEARCH!S50</f>
        <v>0</v>
      </c>
      <c r="S72" s="99"/>
      <c r="T72" s="99"/>
      <c r="U72" s="99"/>
      <c r="V72" s="99"/>
      <c r="W72" s="90" t="s">
        <v>77</v>
      </c>
      <c r="X72" s="98">
        <f>R72</f>
        <v>0</v>
      </c>
      <c r="Y72" s="99"/>
      <c r="Z72" s="99"/>
      <c r="AA72" s="99"/>
      <c r="AB72" s="99"/>
      <c r="AC72" s="90" t="s">
        <v>77</v>
      </c>
      <c r="AD72" s="98"/>
      <c r="AE72" s="99"/>
      <c r="AF72" s="99"/>
      <c r="AG72" s="99"/>
      <c r="AH72" s="99"/>
    </row>
    <row r="73" spans="1:36" s="8" customFormat="1" ht="15" customHeight="1">
      <c r="A73" s="123"/>
      <c r="B73" s="121" t="s">
        <v>111</v>
      </c>
      <c r="C73" s="121"/>
      <c r="D73" s="124" t="s">
        <v>129</v>
      </c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5"/>
      <c r="Q73" s="90" t="s">
        <v>77</v>
      </c>
      <c r="R73" s="98">
        <f>[1]SEARCH!S51</f>
        <v>0</v>
      </c>
      <c r="S73" s="99"/>
      <c r="T73" s="99"/>
      <c r="U73" s="99"/>
      <c r="V73" s="99"/>
      <c r="W73" s="90" t="s">
        <v>77</v>
      </c>
      <c r="X73" s="98">
        <f>R73</f>
        <v>0</v>
      </c>
      <c r="Y73" s="99"/>
      <c r="Z73" s="99"/>
      <c r="AA73" s="99"/>
      <c r="AB73" s="99"/>
      <c r="AC73" s="90" t="s">
        <v>77</v>
      </c>
      <c r="AD73" s="98">
        <f>IF(SUM(X72:AB73)&gt;50000,50000,SUM(X72:AB73))</f>
        <v>0</v>
      </c>
      <c r="AE73" s="99"/>
      <c r="AF73" s="99"/>
      <c r="AG73" s="99"/>
      <c r="AH73" s="99"/>
    </row>
    <row r="74" spans="1:36" s="8" customFormat="1" ht="15" customHeight="1">
      <c r="A74" s="123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93"/>
      <c r="R74" s="100"/>
      <c r="S74" s="101"/>
      <c r="T74" s="101"/>
      <c r="U74" s="101"/>
      <c r="V74" s="101"/>
      <c r="W74" s="93"/>
      <c r="X74" s="100"/>
      <c r="Y74" s="101"/>
      <c r="Z74" s="101"/>
      <c r="AA74" s="101"/>
      <c r="AB74" s="101"/>
      <c r="AC74" s="93"/>
      <c r="AD74" s="100"/>
      <c r="AE74" s="101"/>
      <c r="AF74" s="101"/>
      <c r="AG74" s="101"/>
      <c r="AH74" s="101"/>
    </row>
    <row r="75" spans="1:36" s="8" customFormat="1" ht="15" customHeight="1">
      <c r="A75" s="80" t="s">
        <v>130</v>
      </c>
      <c r="B75" s="81" t="s">
        <v>131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93"/>
      <c r="R75" s="100"/>
      <c r="S75" s="101"/>
      <c r="T75" s="101"/>
      <c r="U75" s="101"/>
      <c r="V75" s="101"/>
      <c r="W75" s="93"/>
      <c r="X75" s="100"/>
      <c r="Y75" s="101"/>
      <c r="Z75" s="101"/>
      <c r="AA75" s="101"/>
      <c r="AB75" s="101"/>
      <c r="AC75" s="90" t="s">
        <v>77</v>
      </c>
      <c r="AD75" s="100">
        <f>SUM(AD60:AH73)</f>
        <v>0</v>
      </c>
      <c r="AE75" s="101"/>
      <c r="AF75" s="101"/>
      <c r="AG75" s="101"/>
      <c r="AH75" s="101"/>
    </row>
    <row r="76" spans="1:36" s="8" customFormat="1" ht="15" customHeight="1">
      <c r="A76" s="80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93"/>
      <c r="R76" s="100"/>
      <c r="S76" s="101"/>
      <c r="T76" s="101"/>
      <c r="U76" s="101"/>
      <c r="V76" s="101"/>
      <c r="W76" s="93"/>
      <c r="X76" s="100"/>
      <c r="Y76" s="101"/>
      <c r="Z76" s="101"/>
      <c r="AA76" s="101"/>
      <c r="AB76" s="101"/>
      <c r="AC76" s="93"/>
      <c r="AD76" s="100"/>
      <c r="AE76" s="101"/>
      <c r="AF76" s="101"/>
      <c r="AG76" s="101"/>
      <c r="AH76" s="101"/>
    </row>
    <row r="77" spans="1:36" s="8" customFormat="1" ht="15" customHeight="1">
      <c r="A77" s="80" t="s">
        <v>132</v>
      </c>
      <c r="B77" s="81" t="s">
        <v>133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93"/>
      <c r="R77" s="100"/>
      <c r="S77" s="101"/>
      <c r="T77" s="101"/>
      <c r="U77" s="101"/>
      <c r="V77" s="101"/>
      <c r="W77" s="93"/>
      <c r="X77" s="100"/>
      <c r="Y77" s="101"/>
      <c r="Z77" s="101"/>
      <c r="AA77" s="101"/>
      <c r="AB77" s="101"/>
      <c r="AC77" s="90" t="s">
        <v>77</v>
      </c>
      <c r="AD77" s="100">
        <f>AD46-AD75</f>
        <v>0</v>
      </c>
      <c r="AE77" s="101"/>
      <c r="AF77" s="101"/>
      <c r="AG77" s="101"/>
      <c r="AH77" s="101"/>
      <c r="AJ77" s="137">
        <f>IF([2]Sheet2!A2=1,IF(AD77&gt;250000,IF((AD77-250000)*0.1&gt;2000,2000,(AD77-250000)*0.1),0))+IF([2]Sheet2!A2=2,IF(AD77&gt;300000,IF((AD77-300000)*0.1&gt;2000,2000,(AD77-300000)*0.1),0))</f>
        <v>0</v>
      </c>
    </row>
    <row r="78" spans="1:36" s="8" customFormat="1" ht="15" customHeight="1">
      <c r="A78" s="80" t="s">
        <v>134</v>
      </c>
      <c r="B78" s="87" t="s">
        <v>135</v>
      </c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93"/>
      <c r="R78" s="100"/>
      <c r="S78" s="101"/>
      <c r="T78" s="101"/>
      <c r="U78" s="101"/>
      <c r="V78" s="101"/>
      <c r="W78" s="93"/>
      <c r="X78" s="100"/>
      <c r="Y78" s="101"/>
      <c r="Z78" s="101"/>
      <c r="AA78" s="101"/>
      <c r="AB78" s="101"/>
      <c r="AC78" s="90" t="s">
        <v>77</v>
      </c>
      <c r="AD78" s="138" t="e">
        <f ca="1">calculate_tax(AD77)</f>
        <v>#NAME?</v>
      </c>
      <c r="AE78" s="138"/>
      <c r="AF78" s="138"/>
      <c r="AG78" s="138"/>
      <c r="AH78" s="139"/>
    </row>
    <row r="79" spans="1:36" s="8" customFormat="1" ht="15" customHeight="1">
      <c r="A79" s="80" t="s">
        <v>136</v>
      </c>
      <c r="B79" s="87" t="s">
        <v>137</v>
      </c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93"/>
      <c r="R79" s="100"/>
      <c r="S79" s="101"/>
      <c r="T79" s="101"/>
      <c r="U79" s="101"/>
      <c r="V79" s="101"/>
      <c r="W79" s="93"/>
      <c r="X79" s="100"/>
      <c r="Y79" s="101"/>
      <c r="Z79" s="101"/>
      <c r="AA79" s="101"/>
      <c r="AB79" s="101"/>
      <c r="AC79" s="90" t="s">
        <v>77</v>
      </c>
      <c r="AD79" s="100" t="e">
        <f ca="1">ROUND(AD78*3/100,0)</f>
        <v>#NAME?</v>
      </c>
      <c r="AE79" s="101"/>
      <c r="AF79" s="101"/>
      <c r="AG79" s="101"/>
      <c r="AH79" s="101"/>
    </row>
    <row r="80" spans="1:36" s="8" customFormat="1" ht="15" customHeight="1">
      <c r="A80" s="80" t="s">
        <v>138</v>
      </c>
      <c r="B80" s="87" t="s">
        <v>139</v>
      </c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93"/>
      <c r="R80" s="100"/>
      <c r="S80" s="101"/>
      <c r="T80" s="101"/>
      <c r="U80" s="101"/>
      <c r="V80" s="101"/>
      <c r="W80" s="93"/>
      <c r="X80" s="100"/>
      <c r="Y80" s="101"/>
      <c r="Z80" s="101"/>
      <c r="AA80" s="101"/>
      <c r="AB80" s="101"/>
      <c r="AC80" s="90" t="s">
        <v>77</v>
      </c>
      <c r="AD80" s="100" t="e">
        <f ca="1">AD78+AD79</f>
        <v>#NAME?</v>
      </c>
      <c r="AE80" s="101"/>
      <c r="AF80" s="101"/>
      <c r="AG80" s="101"/>
      <c r="AH80" s="101"/>
    </row>
    <row r="81" spans="1:34" s="8" customFormat="1" ht="15" customHeight="1">
      <c r="A81" s="80" t="s">
        <v>140</v>
      </c>
      <c r="B81" s="88" t="s">
        <v>141</v>
      </c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93"/>
      <c r="R81" s="100"/>
      <c r="S81" s="101"/>
      <c r="T81" s="101"/>
      <c r="U81" s="101"/>
      <c r="V81" s="101"/>
      <c r="W81" s="93"/>
      <c r="X81" s="100"/>
      <c r="Y81" s="101"/>
      <c r="Z81" s="101"/>
      <c r="AA81" s="101"/>
      <c r="AB81" s="101"/>
      <c r="AC81" s="90" t="s">
        <v>77</v>
      </c>
      <c r="AD81" s="98"/>
      <c r="AE81" s="99"/>
      <c r="AF81" s="99"/>
      <c r="AG81" s="99"/>
      <c r="AH81" s="99"/>
    </row>
    <row r="82" spans="1:34" s="8" customFormat="1" ht="15" customHeight="1">
      <c r="A82" s="80" t="s">
        <v>142</v>
      </c>
      <c r="B82" s="81" t="s">
        <v>143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93"/>
      <c r="R82" s="100"/>
      <c r="S82" s="101"/>
      <c r="T82" s="101"/>
      <c r="U82" s="101"/>
      <c r="V82" s="101"/>
      <c r="W82" s="93"/>
      <c r="X82" s="100"/>
      <c r="Y82" s="101"/>
      <c r="Z82" s="101"/>
      <c r="AA82" s="101"/>
      <c r="AB82" s="101"/>
      <c r="AC82" s="90" t="s">
        <v>77</v>
      </c>
      <c r="AD82" s="100" t="e">
        <f ca="1">AD80-AD81</f>
        <v>#NAME?</v>
      </c>
      <c r="AE82" s="101"/>
      <c r="AF82" s="101"/>
      <c r="AG82" s="101"/>
      <c r="AH82" s="101"/>
    </row>
    <row r="83" spans="1:34" s="8" customFormat="1" ht="15" customHeight="1">
      <c r="A83" s="80" t="s">
        <v>144</v>
      </c>
      <c r="B83" s="87" t="s">
        <v>145</v>
      </c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93"/>
      <c r="R83" s="140"/>
      <c r="S83" s="140"/>
      <c r="T83" s="140"/>
      <c r="U83" s="140"/>
      <c r="V83" s="140"/>
      <c r="W83" s="93"/>
      <c r="X83" s="140"/>
      <c r="Y83" s="140"/>
      <c r="Z83" s="140"/>
      <c r="AA83" s="140"/>
      <c r="AB83" s="140"/>
      <c r="AC83" s="90" t="s">
        <v>77</v>
      </c>
      <c r="AD83" s="141"/>
      <c r="AE83" s="141"/>
      <c r="AF83" s="141"/>
      <c r="AG83" s="141"/>
      <c r="AH83" s="98"/>
    </row>
    <row r="84" spans="1:34" s="8" customFormat="1" ht="15" customHeight="1">
      <c r="A84" s="80" t="s">
        <v>146</v>
      </c>
      <c r="B84" s="87" t="s">
        <v>147</v>
      </c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93"/>
      <c r="R84" s="140"/>
      <c r="S84" s="140"/>
      <c r="T84" s="140"/>
      <c r="U84" s="140"/>
      <c r="V84" s="140"/>
      <c r="W84" s="93"/>
      <c r="X84" s="140"/>
      <c r="Y84" s="140"/>
      <c r="Z84" s="140"/>
      <c r="AA84" s="140"/>
      <c r="AB84" s="140"/>
      <c r="AC84" s="90" t="s">
        <v>77</v>
      </c>
      <c r="AD84" s="142" t="e">
        <f ca="1">AD82-AD83</f>
        <v>#NAME?</v>
      </c>
      <c r="AE84" s="143"/>
      <c r="AF84" s="143"/>
      <c r="AG84" s="143"/>
      <c r="AH84" s="100"/>
    </row>
    <row r="85" spans="1:34" s="8" customFormat="1" ht="5.0999999999999996" customHeight="1">
      <c r="A85" s="144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10"/>
      <c r="R85" s="145"/>
      <c r="S85" s="145"/>
      <c r="T85" s="145"/>
      <c r="U85" s="145"/>
      <c r="V85" s="145"/>
      <c r="W85" s="110"/>
      <c r="X85" s="145"/>
      <c r="Y85" s="145"/>
      <c r="Z85" s="145"/>
      <c r="AA85" s="145"/>
      <c r="AB85" s="145"/>
      <c r="AC85" s="110"/>
      <c r="AD85" s="145"/>
      <c r="AE85" s="145"/>
      <c r="AF85" s="145"/>
      <c r="AG85" s="145"/>
      <c r="AH85" s="146"/>
    </row>
    <row r="86" spans="1:34" s="8" customFormat="1" ht="15" customHeight="1">
      <c r="A86" s="147" t="s">
        <v>148</v>
      </c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</row>
    <row r="87" spans="1:34" s="8" customFormat="1" ht="15" customHeight="1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</row>
    <row r="88" spans="1:34" s="8" customFormat="1" ht="15" customHeight="1">
      <c r="A88" s="148" t="s">
        <v>149</v>
      </c>
      <c r="B88" s="149" t="s">
        <v>150</v>
      </c>
      <c r="C88" s="149"/>
      <c r="D88" s="149"/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50" t="s">
        <v>151</v>
      </c>
      <c r="R88" s="150"/>
      <c r="S88" s="150"/>
      <c r="T88" s="150"/>
      <c r="U88" s="150"/>
      <c r="V88" s="149" t="s">
        <v>152</v>
      </c>
      <c r="W88" s="149"/>
      <c r="X88" s="149"/>
      <c r="Y88" s="149"/>
      <c r="Z88" s="149"/>
      <c r="AA88" s="149"/>
      <c r="AB88" s="149"/>
      <c r="AC88" s="149"/>
      <c r="AD88" s="149"/>
      <c r="AE88" s="149"/>
      <c r="AF88" s="149"/>
      <c r="AG88" s="149"/>
      <c r="AH88" s="151"/>
    </row>
    <row r="89" spans="1:34" s="8" customFormat="1" ht="15" customHeight="1">
      <c r="A89" s="152" t="s">
        <v>153</v>
      </c>
      <c r="B89" s="153"/>
      <c r="C89" s="153"/>
      <c r="D89" s="153"/>
      <c r="E89" s="153"/>
      <c r="F89" s="153"/>
      <c r="G89" s="153"/>
      <c r="H89" s="154" t="s">
        <v>154</v>
      </c>
      <c r="I89" s="154"/>
      <c r="J89" s="154"/>
      <c r="K89" s="154"/>
      <c r="L89" s="154"/>
      <c r="M89" s="154"/>
      <c r="N89" s="154"/>
      <c r="O89" s="154"/>
      <c r="P89" s="154"/>
      <c r="Q89" s="155" t="s">
        <v>155</v>
      </c>
      <c r="R89" s="155"/>
      <c r="S89" s="155"/>
      <c r="T89" s="155"/>
      <c r="U89" s="155"/>
      <c r="V89" s="155"/>
      <c r="W89" s="155"/>
      <c r="X89" s="155"/>
      <c r="Y89" s="155"/>
      <c r="Z89" s="155"/>
      <c r="AA89" s="155"/>
      <c r="AB89" s="155"/>
      <c r="AC89" s="155"/>
      <c r="AD89" s="156">
        <f>AD83</f>
        <v>0</v>
      </c>
      <c r="AE89" s="154"/>
      <c r="AF89" s="154"/>
      <c r="AG89" s="154"/>
      <c r="AH89" s="157"/>
    </row>
    <row r="90" spans="1:34" s="8" customFormat="1" ht="15" customHeight="1">
      <c r="A90" s="123" t="s">
        <v>156</v>
      </c>
      <c r="B90" s="158">
        <f>[3]!SPELLNUMBER(AD83)</f>
        <v>0</v>
      </c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87" t="s">
        <v>157</v>
      </c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159"/>
    </row>
    <row r="91" spans="1:34" s="8" customFormat="1" ht="15" customHeight="1">
      <c r="A91" s="123" t="s">
        <v>158</v>
      </c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159"/>
    </row>
    <row r="92" spans="1:34" s="8" customFormat="1" ht="15" customHeight="1">
      <c r="A92" s="144" t="s">
        <v>159</v>
      </c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9"/>
    </row>
    <row r="93" spans="1:34" s="8" customFormat="1" ht="15" customHeight="1">
      <c r="A93" s="160" t="s">
        <v>160</v>
      </c>
      <c r="B93" s="161"/>
      <c r="C93" s="161"/>
      <c r="D93" s="162"/>
      <c r="E93" s="163" t="s">
        <v>161</v>
      </c>
      <c r="F93" s="164"/>
      <c r="G93" s="164"/>
      <c r="H93" s="164"/>
      <c r="I93" s="164"/>
      <c r="J93" s="164"/>
      <c r="K93" s="164"/>
      <c r="L93" s="165"/>
      <c r="M93" s="166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16"/>
      <c r="AB93" s="116"/>
      <c r="AC93" s="116"/>
      <c r="AD93" s="116"/>
      <c r="AE93" s="116"/>
      <c r="AF93" s="116"/>
      <c r="AG93" s="116"/>
      <c r="AH93" s="117"/>
    </row>
    <row r="94" spans="1:34" s="8" customFormat="1" ht="15" customHeight="1">
      <c r="A94" s="168" t="s">
        <v>162</v>
      </c>
      <c r="B94" s="168"/>
      <c r="C94" s="168"/>
      <c r="D94" s="168"/>
      <c r="E94" s="163" t="s">
        <v>163</v>
      </c>
      <c r="F94" s="164"/>
      <c r="G94" s="164"/>
      <c r="H94" s="164"/>
      <c r="I94" s="164"/>
      <c r="J94" s="164"/>
      <c r="K94" s="164"/>
      <c r="L94" s="165"/>
      <c r="M94" s="169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  <c r="Z94" s="170"/>
      <c r="AA94" s="87"/>
      <c r="AB94" s="87"/>
      <c r="AC94" s="87"/>
      <c r="AD94" s="87"/>
      <c r="AE94" s="87"/>
      <c r="AF94" s="87"/>
      <c r="AG94" s="87"/>
      <c r="AH94" s="159"/>
    </row>
    <row r="95" spans="1:34" s="8" customFormat="1" ht="15" customHeight="1">
      <c r="A95" s="168" t="s">
        <v>164</v>
      </c>
      <c r="B95" s="168"/>
      <c r="C95" s="168"/>
      <c r="D95" s="168"/>
      <c r="E95" s="103" t="s">
        <v>165</v>
      </c>
      <c r="F95" s="104"/>
      <c r="G95" s="104"/>
      <c r="H95" s="104"/>
      <c r="I95" s="104"/>
      <c r="J95" s="104"/>
      <c r="K95" s="104"/>
      <c r="L95" s="105"/>
      <c r="M95" s="171" t="s">
        <v>166</v>
      </c>
      <c r="N95" s="171"/>
      <c r="O95" s="171"/>
      <c r="P95" s="171"/>
      <c r="Q95" s="25" t="s">
        <v>150</v>
      </c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</row>
    <row r="96" spans="1:34" s="8" customFormat="1" ht="36.75" customHeight="1">
      <c r="A96" s="172"/>
      <c r="B96" s="173"/>
      <c r="C96" s="173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</row>
    <row r="97" spans="1:67" s="8" customFormat="1" ht="15" customHeight="1">
      <c r="A97" s="174" t="s">
        <v>167</v>
      </c>
      <c r="B97" s="173"/>
      <c r="C97" s="173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</row>
    <row r="98" spans="1:67" s="8" customFormat="1" ht="20.100000000000001" customHeight="1">
      <c r="A98" s="175" t="s">
        <v>73</v>
      </c>
      <c r="B98" s="176" t="s">
        <v>168</v>
      </c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</row>
    <row r="99" spans="1:67" s="8" customFormat="1" ht="20.100000000000001" customHeight="1">
      <c r="A99" s="175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</row>
    <row r="100" spans="1:67" s="8" customFormat="1" ht="27.95" customHeight="1">
      <c r="A100" s="175" t="s">
        <v>83</v>
      </c>
      <c r="B100" s="176" t="s">
        <v>169</v>
      </c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</row>
    <row r="101" spans="1:67" s="8" customFormat="1" ht="15" customHeight="1">
      <c r="A101" s="174" t="s">
        <v>88</v>
      </c>
      <c r="B101" s="177" t="s">
        <v>170</v>
      </c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</row>
    <row r="102" spans="1:67" s="8" customFormat="1" ht="15" customHeight="1">
      <c r="A102" s="174" t="s">
        <v>90</v>
      </c>
      <c r="B102" s="177" t="s">
        <v>171</v>
      </c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</row>
    <row r="103" spans="1:67" s="8" customFormat="1" ht="15" customHeight="1">
      <c r="A103" s="174"/>
      <c r="B103" s="177" t="s">
        <v>172</v>
      </c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</row>
    <row r="104" spans="1:67" s="8" customFormat="1" ht="15" customHeight="1">
      <c r="A104" s="174"/>
      <c r="B104" s="177"/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</row>
    <row r="105" spans="1:67" s="8" customFormat="1" ht="15" customHeight="1">
      <c r="A105" s="172"/>
      <c r="B105" s="173"/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</row>
    <row r="106" spans="1:67" s="8" customFormat="1" ht="15" customHeight="1">
      <c r="A106" s="178"/>
      <c r="B106" s="178"/>
      <c r="C106" s="178"/>
      <c r="D106" s="178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8"/>
      <c r="AJ106" s="178"/>
      <c r="AK106" s="178"/>
      <c r="AL106" s="178"/>
      <c r="AM106" s="178"/>
      <c r="AN106" s="178"/>
      <c r="AO106" s="178"/>
      <c r="AP106" s="178"/>
      <c r="AQ106" s="178"/>
      <c r="AR106" s="178"/>
      <c r="AS106" s="178"/>
      <c r="AT106" s="178"/>
      <c r="AU106" s="178"/>
      <c r="AV106" s="178"/>
      <c r="AW106" s="178"/>
      <c r="AX106" s="178"/>
      <c r="AY106" s="178"/>
      <c r="AZ106" s="178"/>
      <c r="BA106" s="178"/>
      <c r="BB106" s="178"/>
      <c r="BC106" s="178"/>
      <c r="BD106" s="178"/>
      <c r="BE106" s="178"/>
      <c r="BF106" s="178"/>
      <c r="BG106" s="178"/>
      <c r="BH106" s="178"/>
      <c r="BI106" s="178"/>
      <c r="BJ106" s="178"/>
      <c r="BK106" s="178"/>
      <c r="BL106" s="178"/>
      <c r="BM106" s="178"/>
      <c r="BN106" s="178"/>
      <c r="BO106" s="178"/>
    </row>
    <row r="107" spans="1:67" s="8" customFormat="1" ht="15" customHeight="1">
      <c r="A107" s="178"/>
      <c r="B107" s="178"/>
      <c r="C107" s="178"/>
      <c r="D107" s="178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178"/>
      <c r="AJ107" s="178"/>
      <c r="AK107" s="178"/>
      <c r="AL107" s="178"/>
      <c r="AM107" s="178"/>
      <c r="AN107" s="178"/>
      <c r="AO107" s="178"/>
      <c r="AP107" s="178"/>
      <c r="AQ107" s="178"/>
      <c r="AR107" s="178"/>
      <c r="AS107" s="178"/>
      <c r="AT107" s="178"/>
      <c r="AU107" s="178"/>
      <c r="AV107" s="178"/>
      <c r="AW107" s="178"/>
      <c r="AX107" s="178"/>
      <c r="AY107" s="178"/>
      <c r="AZ107" s="178"/>
      <c r="BA107" s="178"/>
      <c r="BB107" s="178"/>
      <c r="BC107" s="178"/>
      <c r="BD107" s="178"/>
      <c r="BE107" s="178"/>
      <c r="BF107" s="178"/>
      <c r="BG107" s="178"/>
      <c r="BH107" s="178"/>
      <c r="BI107" s="178"/>
      <c r="BJ107" s="178"/>
      <c r="BK107" s="178"/>
      <c r="BL107" s="178"/>
      <c r="BM107" s="178"/>
      <c r="BN107" s="178"/>
      <c r="BO107" s="178"/>
    </row>
    <row r="108" spans="1:67" s="8" customFormat="1" ht="15" customHeight="1">
      <c r="A108" s="178"/>
      <c r="B108" s="178"/>
      <c r="C108" s="178"/>
      <c r="D108" s="178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8"/>
      <c r="AJ108" s="178"/>
      <c r="AK108" s="178"/>
      <c r="AL108" s="178"/>
      <c r="AM108" s="178"/>
      <c r="AN108" s="178"/>
      <c r="AO108" s="178"/>
      <c r="AP108" s="178"/>
      <c r="AQ108" s="178"/>
      <c r="AR108" s="178"/>
      <c r="AS108" s="178"/>
      <c r="AT108" s="178"/>
      <c r="AU108" s="178"/>
      <c r="AV108" s="178"/>
      <c r="AW108" s="178"/>
      <c r="AX108" s="178"/>
      <c r="AY108" s="178"/>
      <c r="AZ108" s="178"/>
      <c r="BA108" s="178"/>
      <c r="BB108" s="178"/>
      <c r="BC108" s="178"/>
      <c r="BD108" s="178"/>
      <c r="BE108" s="178"/>
      <c r="BF108" s="178"/>
      <c r="BG108" s="178"/>
      <c r="BH108" s="178"/>
      <c r="BI108" s="178"/>
      <c r="BJ108" s="178"/>
      <c r="BK108" s="178"/>
      <c r="BL108" s="178"/>
      <c r="BM108" s="178"/>
      <c r="BN108" s="178"/>
      <c r="BO108" s="178"/>
    </row>
    <row r="109" spans="1:67" s="8" customFormat="1" ht="15" customHeight="1">
      <c r="A109" s="178"/>
      <c r="B109" s="178"/>
      <c r="C109" s="178"/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178"/>
      <c r="AJ109" s="178"/>
      <c r="AK109" s="178"/>
      <c r="AL109" s="178"/>
      <c r="AM109" s="178"/>
      <c r="AN109" s="178"/>
      <c r="AO109" s="178"/>
      <c r="AP109" s="178"/>
      <c r="AQ109" s="178"/>
      <c r="AR109" s="178"/>
      <c r="AS109" s="178"/>
      <c r="AT109" s="178"/>
      <c r="AU109" s="178"/>
      <c r="AV109" s="178"/>
      <c r="AW109" s="178"/>
      <c r="AX109" s="178"/>
      <c r="AY109" s="178"/>
      <c r="AZ109" s="178"/>
      <c r="BA109" s="178"/>
      <c r="BB109" s="178"/>
      <c r="BC109" s="178"/>
      <c r="BD109" s="178"/>
      <c r="BE109" s="178"/>
      <c r="BF109" s="178"/>
      <c r="BG109" s="178"/>
      <c r="BH109" s="178"/>
      <c r="BI109" s="178"/>
      <c r="BJ109" s="178"/>
      <c r="BK109" s="178"/>
      <c r="BL109" s="178"/>
      <c r="BM109" s="178"/>
      <c r="BN109" s="178"/>
      <c r="BO109" s="178"/>
    </row>
    <row r="110" spans="1:67" s="8" customFormat="1" ht="15" customHeight="1">
      <c r="A110" s="178"/>
      <c r="B110" s="178"/>
      <c r="C110" s="178"/>
      <c r="D110" s="178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  <c r="R110" s="178"/>
      <c r="S110" s="178"/>
      <c r="T110" s="178"/>
      <c r="U110" s="178"/>
      <c r="V110" s="178"/>
      <c r="W110" s="178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78"/>
      <c r="AH110" s="178"/>
      <c r="AI110" s="178"/>
      <c r="AJ110" s="178"/>
      <c r="AK110" s="178"/>
      <c r="AL110" s="178"/>
      <c r="AM110" s="178"/>
      <c r="AN110" s="178"/>
      <c r="AO110" s="178"/>
      <c r="AP110" s="178"/>
      <c r="AQ110" s="178"/>
      <c r="AR110" s="178"/>
      <c r="AS110" s="178"/>
      <c r="AT110" s="178"/>
      <c r="AU110" s="178"/>
      <c r="AV110" s="178"/>
      <c r="AW110" s="178"/>
      <c r="AX110" s="178"/>
      <c r="AY110" s="178"/>
      <c r="AZ110" s="178"/>
      <c r="BA110" s="178"/>
      <c r="BB110" s="178"/>
      <c r="BC110" s="178"/>
      <c r="BD110" s="178"/>
      <c r="BE110" s="178"/>
      <c r="BF110" s="178"/>
      <c r="BG110" s="178"/>
      <c r="BH110" s="178"/>
      <c r="BI110" s="178"/>
      <c r="BJ110" s="178"/>
      <c r="BK110" s="178"/>
      <c r="BL110" s="178"/>
      <c r="BM110" s="178"/>
      <c r="BN110" s="178"/>
      <c r="BO110" s="178"/>
    </row>
    <row r="111" spans="1:67" s="8" customFormat="1" ht="15" customHeight="1">
      <c r="A111" s="178"/>
      <c r="B111" s="178"/>
      <c r="C111" s="178"/>
      <c r="D111" s="178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178"/>
      <c r="AJ111" s="178"/>
      <c r="AK111" s="178"/>
      <c r="AL111" s="178"/>
      <c r="AM111" s="178"/>
      <c r="AN111" s="178"/>
      <c r="AO111" s="178"/>
      <c r="AP111" s="178"/>
      <c r="AQ111" s="178"/>
      <c r="AR111" s="178"/>
      <c r="AS111" s="178"/>
      <c r="AT111" s="178"/>
      <c r="AU111" s="178"/>
      <c r="AV111" s="178"/>
      <c r="AW111" s="178"/>
      <c r="AX111" s="178"/>
      <c r="AY111" s="178"/>
      <c r="AZ111" s="178"/>
      <c r="BA111" s="178"/>
      <c r="BB111" s="178"/>
      <c r="BC111" s="178"/>
      <c r="BD111" s="178"/>
      <c r="BE111" s="178"/>
      <c r="BF111" s="178"/>
      <c r="BG111" s="178"/>
      <c r="BH111" s="178"/>
      <c r="BI111" s="178"/>
      <c r="BJ111" s="178"/>
      <c r="BK111" s="178"/>
      <c r="BL111" s="178"/>
      <c r="BM111" s="178"/>
      <c r="BN111" s="178"/>
      <c r="BO111" s="178"/>
    </row>
    <row r="112" spans="1:67" s="8" customFormat="1" ht="15" customHeight="1">
      <c r="A112" s="178"/>
      <c r="B112" s="178"/>
      <c r="C112" s="178"/>
      <c r="D112" s="178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178"/>
      <c r="AJ112" s="178"/>
      <c r="AK112" s="178"/>
      <c r="AL112" s="178"/>
      <c r="AM112" s="178"/>
      <c r="AN112" s="178"/>
      <c r="AO112" s="178"/>
      <c r="AP112" s="178"/>
      <c r="AQ112" s="178"/>
      <c r="AR112" s="178"/>
      <c r="AS112" s="178"/>
      <c r="AT112" s="178"/>
      <c r="AU112" s="178"/>
      <c r="AV112" s="178"/>
      <c r="AW112" s="178"/>
      <c r="AX112" s="178"/>
      <c r="AY112" s="178"/>
      <c r="AZ112" s="178"/>
      <c r="BA112" s="178"/>
      <c r="BB112" s="178"/>
      <c r="BC112" s="178"/>
      <c r="BD112" s="178"/>
      <c r="BE112" s="178"/>
      <c r="BF112" s="178"/>
      <c r="BG112" s="178"/>
      <c r="BH112" s="178"/>
      <c r="BI112" s="178"/>
      <c r="BJ112" s="178"/>
      <c r="BK112" s="178"/>
      <c r="BL112" s="178"/>
      <c r="BM112" s="178"/>
      <c r="BN112" s="178"/>
      <c r="BO112" s="178"/>
    </row>
    <row r="113" spans="1:67" s="8" customFormat="1" ht="15" customHeight="1">
      <c r="A113" s="178"/>
      <c r="B113" s="178"/>
      <c r="C113" s="178"/>
      <c r="D113" s="178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  <c r="R113" s="178"/>
      <c r="S113" s="178"/>
      <c r="T113" s="178"/>
      <c r="U113" s="178"/>
      <c r="V113" s="178"/>
      <c r="W113" s="178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78"/>
      <c r="AH113" s="178"/>
      <c r="AI113" s="178"/>
      <c r="AJ113" s="178"/>
      <c r="AK113" s="178"/>
      <c r="AL113" s="178"/>
      <c r="AM113" s="178"/>
      <c r="AN113" s="178"/>
      <c r="AO113" s="178"/>
      <c r="AP113" s="178"/>
      <c r="AQ113" s="178"/>
      <c r="AR113" s="178"/>
      <c r="AS113" s="178"/>
      <c r="AT113" s="178"/>
      <c r="AU113" s="178"/>
      <c r="AV113" s="178"/>
      <c r="AW113" s="178"/>
      <c r="AX113" s="178"/>
      <c r="AY113" s="178"/>
      <c r="AZ113" s="178"/>
      <c r="BA113" s="178"/>
      <c r="BB113" s="178"/>
      <c r="BC113" s="178"/>
      <c r="BD113" s="178"/>
      <c r="BE113" s="178"/>
      <c r="BF113" s="178"/>
      <c r="BG113" s="178"/>
      <c r="BH113" s="178"/>
      <c r="BI113" s="178"/>
      <c r="BJ113" s="178"/>
      <c r="BK113" s="178"/>
      <c r="BL113" s="178"/>
      <c r="BM113" s="178"/>
      <c r="BN113" s="178"/>
      <c r="BO113" s="178"/>
    </row>
    <row r="114" spans="1:67" s="8" customFormat="1" ht="15" customHeight="1">
      <c r="A114" s="178"/>
      <c r="B114" s="178"/>
      <c r="C114" s="178"/>
      <c r="D114" s="178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178"/>
      <c r="AJ114" s="178"/>
      <c r="AK114" s="178"/>
      <c r="AL114" s="178"/>
      <c r="AM114" s="178"/>
      <c r="AN114" s="178"/>
      <c r="AO114" s="178"/>
      <c r="AP114" s="178"/>
      <c r="AQ114" s="178"/>
      <c r="AR114" s="178"/>
      <c r="AS114" s="178"/>
      <c r="AT114" s="178"/>
      <c r="AU114" s="178"/>
      <c r="AV114" s="178"/>
      <c r="AW114" s="178"/>
      <c r="AX114" s="178"/>
      <c r="AY114" s="178"/>
      <c r="AZ114" s="178"/>
      <c r="BA114" s="178"/>
      <c r="BB114" s="178"/>
      <c r="BC114" s="178"/>
      <c r="BD114" s="178"/>
      <c r="BE114" s="178"/>
      <c r="BF114" s="178"/>
      <c r="BG114" s="178"/>
      <c r="BH114" s="178"/>
      <c r="BI114" s="178"/>
      <c r="BJ114" s="178"/>
      <c r="BK114" s="178"/>
      <c r="BL114" s="178"/>
      <c r="BM114" s="178"/>
      <c r="BN114" s="178"/>
      <c r="BO114" s="178"/>
    </row>
    <row r="115" spans="1:67" s="8" customFormat="1" ht="15" customHeight="1">
      <c r="A115" s="178"/>
      <c r="B115" s="178"/>
      <c r="C115" s="178"/>
      <c r="D115" s="178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8"/>
      <c r="AJ115" s="178"/>
      <c r="AK115" s="178"/>
      <c r="AL115" s="178"/>
      <c r="AM115" s="178"/>
      <c r="AN115" s="178"/>
      <c r="AO115" s="178"/>
      <c r="AP115" s="178"/>
      <c r="AQ115" s="178"/>
      <c r="AR115" s="178"/>
      <c r="AS115" s="178"/>
      <c r="AT115" s="178"/>
      <c r="AU115" s="178"/>
      <c r="AV115" s="178"/>
      <c r="AW115" s="178"/>
      <c r="AX115" s="178"/>
      <c r="AY115" s="178"/>
      <c r="AZ115" s="178"/>
      <c r="BA115" s="178"/>
      <c r="BB115" s="178"/>
      <c r="BC115" s="178"/>
      <c r="BD115" s="178"/>
      <c r="BE115" s="178"/>
      <c r="BF115" s="178"/>
      <c r="BG115" s="178"/>
      <c r="BH115" s="178"/>
      <c r="BI115" s="178"/>
      <c r="BJ115" s="178"/>
      <c r="BK115" s="178"/>
      <c r="BL115" s="178"/>
      <c r="BM115" s="178"/>
      <c r="BN115" s="178"/>
      <c r="BO115" s="178"/>
    </row>
    <row r="116" spans="1:67" s="8" customFormat="1" ht="15" customHeight="1">
      <c r="A116" s="178"/>
      <c r="B116" s="178"/>
      <c r="C116" s="178"/>
      <c r="D116" s="178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178"/>
      <c r="AJ116" s="178"/>
      <c r="AK116" s="178"/>
      <c r="AL116" s="178"/>
      <c r="AM116" s="178"/>
      <c r="AN116" s="178"/>
      <c r="AO116" s="178"/>
      <c r="AP116" s="178"/>
      <c r="AQ116" s="178"/>
      <c r="AR116" s="178"/>
      <c r="AS116" s="178"/>
      <c r="AT116" s="178"/>
      <c r="AU116" s="178"/>
      <c r="AV116" s="178"/>
      <c r="AW116" s="178"/>
      <c r="AX116" s="178"/>
      <c r="AY116" s="178"/>
      <c r="AZ116" s="178"/>
      <c r="BA116" s="178"/>
      <c r="BB116" s="178"/>
      <c r="BC116" s="178"/>
      <c r="BD116" s="178"/>
      <c r="BE116" s="178"/>
      <c r="BF116" s="178"/>
      <c r="BG116" s="178"/>
      <c r="BH116" s="178"/>
      <c r="BI116" s="178"/>
      <c r="BJ116" s="178"/>
      <c r="BK116" s="178"/>
      <c r="BL116" s="178"/>
      <c r="BM116" s="178"/>
      <c r="BN116" s="178"/>
      <c r="BO116" s="178"/>
    </row>
    <row r="117" spans="1:67" s="8" customFormat="1" ht="15" customHeight="1">
      <c r="A117" s="178"/>
      <c r="B117" s="178"/>
      <c r="C117" s="178"/>
      <c r="D117" s="178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  <c r="R117" s="178"/>
      <c r="S117" s="178"/>
      <c r="T117" s="178"/>
      <c r="U117" s="178"/>
      <c r="V117" s="178"/>
      <c r="W117" s="178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178"/>
      <c r="AJ117" s="178"/>
      <c r="AK117" s="178"/>
      <c r="AL117" s="178"/>
      <c r="AM117" s="178"/>
      <c r="AN117" s="178"/>
      <c r="AO117" s="178"/>
      <c r="AP117" s="178"/>
      <c r="AQ117" s="178"/>
      <c r="AR117" s="178"/>
      <c r="AS117" s="178"/>
      <c r="AT117" s="178"/>
      <c r="AU117" s="178"/>
      <c r="AV117" s="178"/>
      <c r="AW117" s="178"/>
      <c r="AX117" s="178"/>
      <c r="AY117" s="178"/>
      <c r="AZ117" s="178"/>
      <c r="BA117" s="178"/>
      <c r="BB117" s="178"/>
      <c r="BC117" s="178"/>
      <c r="BD117" s="178"/>
      <c r="BE117" s="178"/>
      <c r="BF117" s="178"/>
      <c r="BG117" s="178"/>
      <c r="BH117" s="178"/>
      <c r="BI117" s="178"/>
      <c r="BJ117" s="178"/>
      <c r="BK117" s="178"/>
      <c r="BL117" s="178"/>
      <c r="BM117" s="178"/>
      <c r="BN117" s="178"/>
      <c r="BO117" s="178"/>
    </row>
    <row r="118" spans="1:67" s="8" customFormat="1" ht="15" customHeight="1">
      <c r="A118" s="178"/>
      <c r="B118" s="178"/>
      <c r="C118" s="178"/>
      <c r="D118" s="178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8"/>
      <c r="W118" s="178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178"/>
      <c r="AJ118" s="178"/>
      <c r="AK118" s="178"/>
      <c r="AL118" s="178"/>
      <c r="AM118" s="178"/>
      <c r="AN118" s="178"/>
      <c r="AO118" s="178"/>
      <c r="AP118" s="178"/>
      <c r="AQ118" s="178"/>
      <c r="AR118" s="178"/>
      <c r="AS118" s="178"/>
      <c r="AT118" s="178"/>
      <c r="AU118" s="178"/>
      <c r="AV118" s="178"/>
      <c r="AW118" s="178"/>
      <c r="AX118" s="178"/>
      <c r="AY118" s="178"/>
      <c r="AZ118" s="178"/>
      <c r="BA118" s="178"/>
      <c r="BB118" s="178"/>
      <c r="BC118" s="178"/>
      <c r="BD118" s="178"/>
      <c r="BE118" s="178"/>
      <c r="BF118" s="178"/>
      <c r="BG118" s="178"/>
      <c r="BH118" s="178"/>
      <c r="BI118" s="178"/>
      <c r="BJ118" s="178"/>
      <c r="BK118" s="178"/>
      <c r="BL118" s="178"/>
      <c r="BM118" s="178"/>
      <c r="BN118" s="178"/>
      <c r="BO118" s="178"/>
    </row>
    <row r="119" spans="1:67" s="8" customFormat="1" ht="15" customHeight="1">
      <c r="A119" s="178"/>
      <c r="B119" s="178"/>
      <c r="C119" s="178"/>
      <c r="D119" s="178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  <c r="S119" s="178"/>
      <c r="T119" s="178"/>
      <c r="U119" s="178"/>
      <c r="V119" s="178"/>
      <c r="W119" s="178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178"/>
      <c r="AJ119" s="178"/>
      <c r="AK119" s="178"/>
      <c r="AL119" s="178"/>
      <c r="AM119" s="178"/>
      <c r="AN119" s="178"/>
      <c r="AO119" s="178"/>
      <c r="AP119" s="178"/>
      <c r="AQ119" s="178"/>
      <c r="AR119" s="178"/>
      <c r="AS119" s="178"/>
      <c r="AT119" s="178"/>
      <c r="AU119" s="178"/>
      <c r="AV119" s="178"/>
      <c r="AW119" s="178"/>
      <c r="AX119" s="178"/>
      <c r="AY119" s="178"/>
      <c r="AZ119" s="178"/>
      <c r="BA119" s="178"/>
      <c r="BB119" s="178"/>
      <c r="BC119" s="178"/>
      <c r="BD119" s="178"/>
      <c r="BE119" s="178"/>
      <c r="BF119" s="178"/>
      <c r="BG119" s="178"/>
      <c r="BH119" s="178"/>
      <c r="BI119" s="178"/>
      <c r="BJ119" s="178"/>
      <c r="BK119" s="178"/>
      <c r="BL119" s="178"/>
      <c r="BM119" s="178"/>
      <c r="BN119" s="178"/>
      <c r="BO119" s="178"/>
    </row>
    <row r="120" spans="1:67" s="8" customFormat="1" ht="15" customHeight="1">
      <c r="A120" s="178"/>
      <c r="B120" s="178"/>
      <c r="C120" s="178"/>
      <c r="D120" s="178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  <c r="R120" s="178"/>
      <c r="S120" s="178"/>
      <c r="T120" s="178"/>
      <c r="U120" s="178"/>
      <c r="V120" s="178"/>
      <c r="W120" s="178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78"/>
      <c r="AH120" s="178"/>
      <c r="AI120" s="178"/>
      <c r="AJ120" s="178"/>
      <c r="AK120" s="178"/>
      <c r="AL120" s="178"/>
      <c r="AM120" s="178"/>
      <c r="AN120" s="178"/>
      <c r="AO120" s="178"/>
      <c r="AP120" s="178"/>
      <c r="AQ120" s="178"/>
      <c r="AR120" s="178"/>
      <c r="AS120" s="178"/>
      <c r="AT120" s="178"/>
      <c r="AU120" s="178"/>
      <c r="AV120" s="178"/>
      <c r="AW120" s="178"/>
      <c r="AX120" s="178"/>
      <c r="AY120" s="178"/>
      <c r="AZ120" s="178"/>
      <c r="BA120" s="178"/>
      <c r="BB120" s="178"/>
      <c r="BC120" s="178"/>
      <c r="BD120" s="178"/>
      <c r="BE120" s="178"/>
      <c r="BF120" s="178"/>
      <c r="BG120" s="178"/>
      <c r="BH120" s="178"/>
      <c r="BI120" s="178"/>
      <c r="BJ120" s="178"/>
      <c r="BK120" s="178"/>
      <c r="BL120" s="178"/>
      <c r="BM120" s="178"/>
      <c r="BN120" s="178"/>
      <c r="BO120" s="178"/>
    </row>
    <row r="121" spans="1:67" s="8" customFormat="1" ht="15" customHeight="1">
      <c r="A121" s="178"/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V121" s="178"/>
      <c r="W121" s="178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178"/>
      <c r="AJ121" s="178"/>
      <c r="AK121" s="178"/>
      <c r="AL121" s="178"/>
      <c r="AM121" s="178"/>
      <c r="AN121" s="178"/>
      <c r="AO121" s="178"/>
      <c r="AP121" s="178"/>
      <c r="AQ121" s="178"/>
      <c r="AR121" s="178"/>
      <c r="AS121" s="178"/>
      <c r="AT121" s="178"/>
      <c r="AU121" s="178"/>
      <c r="AV121" s="178"/>
      <c r="AW121" s="178"/>
      <c r="AX121" s="178"/>
      <c r="AY121" s="178"/>
      <c r="AZ121" s="178"/>
      <c r="BA121" s="178"/>
      <c r="BB121" s="178"/>
      <c r="BC121" s="178"/>
      <c r="BD121" s="178"/>
      <c r="BE121" s="178"/>
      <c r="BF121" s="178"/>
      <c r="BG121" s="178"/>
      <c r="BH121" s="178"/>
      <c r="BI121" s="178"/>
      <c r="BJ121" s="178"/>
      <c r="BK121" s="178"/>
      <c r="BL121" s="178"/>
      <c r="BM121" s="178"/>
      <c r="BN121" s="178"/>
      <c r="BO121" s="178"/>
    </row>
    <row r="122" spans="1:67" s="8" customFormat="1" ht="15" customHeight="1">
      <c r="A122" s="178"/>
      <c r="B122" s="178"/>
      <c r="C122" s="178"/>
      <c r="D122" s="178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8"/>
      <c r="W122" s="178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8"/>
      <c r="AJ122" s="178"/>
      <c r="AK122" s="178"/>
      <c r="AL122" s="178"/>
      <c r="AM122" s="178"/>
      <c r="AN122" s="178"/>
      <c r="AO122" s="178"/>
      <c r="AP122" s="178"/>
      <c r="AQ122" s="178"/>
      <c r="AR122" s="178"/>
      <c r="AS122" s="178"/>
      <c r="AT122" s="178"/>
      <c r="AU122" s="178"/>
      <c r="AV122" s="178"/>
      <c r="AW122" s="178"/>
      <c r="AX122" s="178"/>
      <c r="AY122" s="178"/>
      <c r="AZ122" s="178"/>
      <c r="BA122" s="178"/>
      <c r="BB122" s="178"/>
      <c r="BC122" s="178"/>
      <c r="BD122" s="178"/>
      <c r="BE122" s="178"/>
      <c r="BF122" s="178"/>
      <c r="BG122" s="178"/>
      <c r="BH122" s="178"/>
      <c r="BI122" s="178"/>
      <c r="BJ122" s="178"/>
      <c r="BK122" s="178"/>
      <c r="BL122" s="178"/>
      <c r="BM122" s="178"/>
      <c r="BN122" s="178"/>
      <c r="BO122" s="178"/>
    </row>
    <row r="123" spans="1:67" s="8" customFormat="1" ht="15" customHeight="1">
      <c r="A123" s="178"/>
      <c r="B123" s="178"/>
      <c r="C123" s="178"/>
      <c r="D123" s="178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  <c r="R123" s="178"/>
      <c r="S123" s="178"/>
      <c r="T123" s="178"/>
      <c r="U123" s="178"/>
      <c r="V123" s="178"/>
      <c r="W123" s="178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178"/>
      <c r="AJ123" s="178"/>
      <c r="AK123" s="178"/>
      <c r="AL123" s="178"/>
      <c r="AM123" s="178"/>
      <c r="AN123" s="178"/>
      <c r="AO123" s="178"/>
      <c r="AP123" s="178"/>
      <c r="AQ123" s="178"/>
      <c r="AR123" s="178"/>
      <c r="AS123" s="178"/>
      <c r="AT123" s="178"/>
      <c r="AU123" s="178"/>
      <c r="AV123" s="178"/>
      <c r="AW123" s="178"/>
      <c r="AX123" s="178"/>
      <c r="AY123" s="178"/>
      <c r="AZ123" s="178"/>
      <c r="BA123" s="178"/>
      <c r="BB123" s="178"/>
      <c r="BC123" s="178"/>
      <c r="BD123" s="178"/>
      <c r="BE123" s="178"/>
      <c r="BF123" s="178"/>
      <c r="BG123" s="178"/>
      <c r="BH123" s="178"/>
      <c r="BI123" s="178"/>
      <c r="BJ123" s="178"/>
      <c r="BK123" s="178"/>
      <c r="BL123" s="178"/>
      <c r="BM123" s="178"/>
      <c r="BN123" s="178"/>
      <c r="BO123" s="178"/>
    </row>
    <row r="124" spans="1:67" s="8" customFormat="1" ht="15" customHeight="1">
      <c r="A124" s="178"/>
      <c r="B124" s="178"/>
      <c r="C124" s="178"/>
      <c r="D124" s="178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  <c r="R124" s="178"/>
      <c r="S124" s="178"/>
      <c r="T124" s="178"/>
      <c r="U124" s="178"/>
      <c r="V124" s="178"/>
      <c r="W124" s="178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178"/>
      <c r="AI124" s="178"/>
      <c r="AJ124" s="178"/>
      <c r="AK124" s="178"/>
      <c r="AL124" s="178"/>
      <c r="AM124" s="178"/>
      <c r="AN124" s="178"/>
      <c r="AO124" s="178"/>
      <c r="AP124" s="178"/>
      <c r="AQ124" s="178"/>
      <c r="AR124" s="178"/>
      <c r="AS124" s="178"/>
      <c r="AT124" s="178"/>
      <c r="AU124" s="178"/>
      <c r="AV124" s="178"/>
      <c r="AW124" s="178"/>
      <c r="AX124" s="178"/>
      <c r="AY124" s="178"/>
      <c r="AZ124" s="178"/>
      <c r="BA124" s="178"/>
      <c r="BB124" s="178"/>
      <c r="BC124" s="178"/>
      <c r="BD124" s="178"/>
      <c r="BE124" s="178"/>
      <c r="BF124" s="178"/>
      <c r="BG124" s="178"/>
      <c r="BH124" s="178"/>
      <c r="BI124" s="178"/>
      <c r="BJ124" s="178"/>
      <c r="BK124" s="178"/>
      <c r="BL124" s="178"/>
      <c r="BM124" s="178"/>
      <c r="BN124" s="178"/>
      <c r="BO124" s="178"/>
    </row>
    <row r="125" spans="1:67" s="8" customFormat="1" ht="15" customHeight="1">
      <c r="A125" s="178"/>
      <c r="B125" s="178"/>
      <c r="C125" s="178"/>
      <c r="D125" s="178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  <c r="R125" s="178"/>
      <c r="S125" s="178"/>
      <c r="T125" s="178"/>
      <c r="U125" s="178"/>
      <c r="V125" s="178"/>
      <c r="W125" s="178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178"/>
      <c r="AJ125" s="178"/>
      <c r="AK125" s="178"/>
      <c r="AL125" s="178"/>
      <c r="AM125" s="178"/>
      <c r="AN125" s="178"/>
      <c r="AO125" s="178"/>
      <c r="AP125" s="178"/>
      <c r="AQ125" s="178"/>
      <c r="AR125" s="178"/>
      <c r="AS125" s="178"/>
      <c r="AT125" s="178"/>
      <c r="AU125" s="178"/>
      <c r="AV125" s="178"/>
      <c r="AW125" s="178"/>
      <c r="AX125" s="178"/>
      <c r="AY125" s="178"/>
      <c r="AZ125" s="178"/>
      <c r="BA125" s="178"/>
      <c r="BB125" s="178"/>
      <c r="BC125" s="178"/>
      <c r="BD125" s="178"/>
      <c r="BE125" s="178"/>
      <c r="BF125" s="178"/>
      <c r="BG125" s="178"/>
      <c r="BH125" s="178"/>
      <c r="BI125" s="178"/>
      <c r="BJ125" s="178"/>
      <c r="BK125" s="178"/>
      <c r="BL125" s="178"/>
      <c r="BM125" s="178"/>
      <c r="BN125" s="178"/>
      <c r="BO125" s="178"/>
    </row>
    <row r="126" spans="1:67" s="8" customFormat="1" ht="15" customHeight="1">
      <c r="A126" s="178"/>
      <c r="B126" s="178"/>
      <c r="C126" s="178"/>
      <c r="D126" s="178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  <c r="R126" s="178"/>
      <c r="S126" s="178"/>
      <c r="T126" s="178"/>
      <c r="U126" s="178"/>
      <c r="V126" s="178"/>
      <c r="W126" s="178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78"/>
      <c r="AH126" s="178"/>
      <c r="AI126" s="178"/>
      <c r="AJ126" s="178"/>
      <c r="AK126" s="178"/>
      <c r="AL126" s="178"/>
      <c r="AM126" s="178"/>
      <c r="AN126" s="178"/>
      <c r="AO126" s="178"/>
      <c r="AP126" s="178"/>
      <c r="AQ126" s="178"/>
      <c r="AR126" s="178"/>
      <c r="AS126" s="178"/>
      <c r="AT126" s="178"/>
      <c r="AU126" s="178"/>
      <c r="AV126" s="178"/>
      <c r="AW126" s="178"/>
      <c r="AX126" s="178"/>
      <c r="AY126" s="178"/>
      <c r="AZ126" s="178"/>
      <c r="BA126" s="178"/>
      <c r="BB126" s="178"/>
      <c r="BC126" s="178"/>
      <c r="BD126" s="178"/>
      <c r="BE126" s="178"/>
      <c r="BF126" s="178"/>
      <c r="BG126" s="178"/>
      <c r="BH126" s="178"/>
      <c r="BI126" s="178"/>
      <c r="BJ126" s="178"/>
      <c r="BK126" s="178"/>
      <c r="BL126" s="178"/>
      <c r="BM126" s="178"/>
      <c r="BN126" s="178"/>
      <c r="BO126" s="178"/>
    </row>
    <row r="127" spans="1:67" s="8" customFormat="1" ht="15" customHeight="1">
      <c r="A127" s="178"/>
      <c r="B127" s="178"/>
      <c r="C127" s="178"/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V127" s="178"/>
      <c r="W127" s="178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178"/>
      <c r="AJ127" s="178"/>
      <c r="AK127" s="178"/>
      <c r="AL127" s="178"/>
      <c r="AM127" s="178"/>
      <c r="AN127" s="178"/>
      <c r="AO127" s="178"/>
      <c r="AP127" s="178"/>
      <c r="AQ127" s="178"/>
      <c r="AR127" s="178"/>
      <c r="AS127" s="178"/>
      <c r="AT127" s="178"/>
      <c r="AU127" s="178"/>
      <c r="AV127" s="178"/>
      <c r="AW127" s="178"/>
      <c r="AX127" s="178"/>
      <c r="AY127" s="178"/>
      <c r="AZ127" s="178"/>
      <c r="BA127" s="178"/>
      <c r="BB127" s="178"/>
      <c r="BC127" s="178"/>
      <c r="BD127" s="178"/>
      <c r="BE127" s="178"/>
      <c r="BF127" s="178"/>
      <c r="BG127" s="178"/>
      <c r="BH127" s="178"/>
      <c r="BI127" s="178"/>
      <c r="BJ127" s="178"/>
      <c r="BK127" s="178"/>
      <c r="BL127" s="178"/>
      <c r="BM127" s="178"/>
      <c r="BN127" s="178"/>
      <c r="BO127" s="178"/>
    </row>
    <row r="128" spans="1:67" s="8" customFormat="1" ht="15" customHeight="1">
      <c r="A128" s="178"/>
      <c r="B128" s="178"/>
      <c r="C128" s="178"/>
      <c r="D128" s="178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  <c r="R128" s="178"/>
      <c r="S128" s="178"/>
      <c r="T128" s="178"/>
      <c r="U128" s="178"/>
      <c r="V128" s="178"/>
      <c r="W128" s="178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8"/>
      <c r="AJ128" s="178"/>
      <c r="AK128" s="178"/>
      <c r="AL128" s="178"/>
      <c r="AM128" s="178"/>
      <c r="AN128" s="178"/>
      <c r="AO128" s="178"/>
      <c r="AP128" s="178"/>
      <c r="AQ128" s="178"/>
      <c r="AR128" s="178"/>
      <c r="AS128" s="178"/>
      <c r="AT128" s="178"/>
      <c r="AU128" s="178"/>
      <c r="AV128" s="178"/>
      <c r="AW128" s="178"/>
      <c r="AX128" s="178"/>
      <c r="AY128" s="178"/>
      <c r="AZ128" s="178"/>
      <c r="BA128" s="178"/>
      <c r="BB128" s="178"/>
      <c r="BC128" s="178"/>
      <c r="BD128" s="178"/>
      <c r="BE128" s="178"/>
      <c r="BF128" s="178"/>
      <c r="BG128" s="178"/>
      <c r="BH128" s="178"/>
      <c r="BI128" s="178"/>
      <c r="BJ128" s="178"/>
      <c r="BK128" s="178"/>
      <c r="BL128" s="178"/>
      <c r="BM128" s="178"/>
      <c r="BN128" s="178"/>
      <c r="BO128" s="178"/>
    </row>
    <row r="129" spans="1:67" s="8" customFormat="1" ht="15" customHeight="1">
      <c r="A129" s="178"/>
      <c r="B129" s="178"/>
      <c r="C129" s="178"/>
      <c r="D129" s="178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  <c r="R129" s="178"/>
      <c r="S129" s="178"/>
      <c r="T129" s="178"/>
      <c r="U129" s="178"/>
      <c r="V129" s="178"/>
      <c r="W129" s="178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78"/>
      <c r="AH129" s="178"/>
      <c r="AI129" s="178"/>
      <c r="AJ129" s="178"/>
      <c r="AK129" s="178"/>
      <c r="AL129" s="178"/>
      <c r="AM129" s="178"/>
      <c r="AN129" s="178"/>
      <c r="AO129" s="178"/>
      <c r="AP129" s="178"/>
      <c r="AQ129" s="178"/>
      <c r="AR129" s="178"/>
      <c r="AS129" s="178"/>
      <c r="AT129" s="178"/>
      <c r="AU129" s="178"/>
      <c r="AV129" s="178"/>
      <c r="AW129" s="178"/>
      <c r="AX129" s="178"/>
      <c r="AY129" s="178"/>
      <c r="AZ129" s="178"/>
      <c r="BA129" s="178"/>
      <c r="BB129" s="178"/>
      <c r="BC129" s="178"/>
      <c r="BD129" s="178"/>
      <c r="BE129" s="178"/>
      <c r="BF129" s="178"/>
      <c r="BG129" s="178"/>
      <c r="BH129" s="178"/>
      <c r="BI129" s="178"/>
      <c r="BJ129" s="178"/>
      <c r="BK129" s="178"/>
      <c r="BL129" s="178"/>
      <c r="BM129" s="178"/>
      <c r="BN129" s="178"/>
      <c r="BO129" s="178"/>
    </row>
    <row r="130" spans="1:67" s="8" customFormat="1" ht="15" customHeight="1">
      <c r="A130" s="178"/>
      <c r="B130" s="178"/>
      <c r="C130" s="178"/>
      <c r="D130" s="178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  <c r="R130" s="178"/>
      <c r="S130" s="178"/>
      <c r="T130" s="178"/>
      <c r="U130" s="178"/>
      <c r="V130" s="178"/>
      <c r="W130" s="178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178"/>
      <c r="AJ130" s="178"/>
      <c r="AK130" s="178"/>
      <c r="AL130" s="178"/>
      <c r="AM130" s="178"/>
      <c r="AN130" s="178"/>
      <c r="AO130" s="178"/>
      <c r="AP130" s="178"/>
      <c r="AQ130" s="178"/>
      <c r="AR130" s="178"/>
      <c r="AS130" s="178"/>
      <c r="AT130" s="178"/>
      <c r="AU130" s="178"/>
      <c r="AV130" s="178"/>
      <c r="AW130" s="178"/>
      <c r="AX130" s="178"/>
      <c r="AY130" s="178"/>
      <c r="AZ130" s="178"/>
      <c r="BA130" s="178"/>
      <c r="BB130" s="178"/>
      <c r="BC130" s="178"/>
      <c r="BD130" s="178"/>
      <c r="BE130" s="178"/>
      <c r="BF130" s="178"/>
      <c r="BG130" s="178"/>
      <c r="BH130" s="178"/>
      <c r="BI130" s="178"/>
      <c r="BJ130" s="178"/>
      <c r="BK130" s="178"/>
      <c r="BL130" s="178"/>
      <c r="BM130" s="178"/>
      <c r="BN130" s="178"/>
      <c r="BO130" s="178"/>
    </row>
    <row r="131" spans="1:67" s="8" customFormat="1" ht="15" customHeight="1">
      <c r="A131" s="178"/>
      <c r="B131" s="178"/>
      <c r="C131" s="178"/>
      <c r="D131" s="178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  <c r="R131" s="178"/>
      <c r="S131" s="178"/>
      <c r="T131" s="178"/>
      <c r="U131" s="178"/>
      <c r="V131" s="178"/>
      <c r="W131" s="178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178"/>
      <c r="AJ131" s="178"/>
      <c r="AK131" s="178"/>
      <c r="AL131" s="178"/>
      <c r="AM131" s="178"/>
      <c r="AN131" s="178"/>
      <c r="AO131" s="178"/>
      <c r="AP131" s="178"/>
      <c r="AQ131" s="178"/>
      <c r="AR131" s="178"/>
      <c r="AS131" s="178"/>
      <c r="AT131" s="178"/>
      <c r="AU131" s="178"/>
      <c r="AV131" s="178"/>
      <c r="AW131" s="178"/>
      <c r="AX131" s="178"/>
      <c r="AY131" s="178"/>
      <c r="AZ131" s="178"/>
      <c r="BA131" s="178"/>
      <c r="BB131" s="178"/>
      <c r="BC131" s="178"/>
      <c r="BD131" s="178"/>
      <c r="BE131" s="178"/>
      <c r="BF131" s="178"/>
      <c r="BG131" s="178"/>
      <c r="BH131" s="178"/>
      <c r="BI131" s="178"/>
      <c r="BJ131" s="178"/>
      <c r="BK131" s="178"/>
      <c r="BL131" s="178"/>
      <c r="BM131" s="178"/>
      <c r="BN131" s="178"/>
      <c r="BO131" s="178"/>
    </row>
    <row r="132" spans="1:67" s="8" customFormat="1" ht="15" customHeight="1">
      <c r="A132" s="178"/>
      <c r="B132" s="178"/>
      <c r="C132" s="178"/>
      <c r="D132" s="178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  <c r="R132" s="178"/>
      <c r="S132" s="178"/>
      <c r="T132" s="178"/>
      <c r="U132" s="178"/>
      <c r="V132" s="178"/>
      <c r="W132" s="178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178"/>
      <c r="AJ132" s="178"/>
      <c r="AK132" s="178"/>
      <c r="AL132" s="178"/>
      <c r="AM132" s="178"/>
      <c r="AN132" s="178"/>
      <c r="AO132" s="178"/>
      <c r="AP132" s="178"/>
      <c r="AQ132" s="178"/>
      <c r="AR132" s="178"/>
      <c r="AS132" s="178"/>
      <c r="AT132" s="178"/>
      <c r="AU132" s="178"/>
      <c r="AV132" s="178"/>
      <c r="AW132" s="178"/>
      <c r="AX132" s="178"/>
      <c r="AY132" s="178"/>
      <c r="AZ132" s="178"/>
      <c r="BA132" s="178"/>
      <c r="BB132" s="178"/>
      <c r="BC132" s="178"/>
      <c r="BD132" s="178"/>
      <c r="BE132" s="178"/>
      <c r="BF132" s="178"/>
      <c r="BG132" s="178"/>
      <c r="BH132" s="178"/>
      <c r="BI132" s="178"/>
      <c r="BJ132" s="178"/>
      <c r="BK132" s="178"/>
      <c r="BL132" s="178"/>
      <c r="BM132" s="178"/>
      <c r="BN132" s="178"/>
      <c r="BO132" s="178"/>
    </row>
    <row r="133" spans="1:67" s="8" customFormat="1" ht="15" customHeight="1">
      <c r="A133" s="178"/>
      <c r="B133" s="178"/>
      <c r="C133" s="178"/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178"/>
      <c r="AJ133" s="178"/>
      <c r="AK133" s="178"/>
      <c r="AL133" s="178"/>
      <c r="AM133" s="178"/>
      <c r="AN133" s="178"/>
      <c r="AO133" s="178"/>
      <c r="AP133" s="178"/>
      <c r="AQ133" s="178"/>
      <c r="AR133" s="178"/>
      <c r="AS133" s="178"/>
      <c r="AT133" s="178"/>
      <c r="AU133" s="178"/>
      <c r="AV133" s="178"/>
      <c r="AW133" s="178"/>
      <c r="AX133" s="178"/>
      <c r="AY133" s="178"/>
      <c r="AZ133" s="178"/>
      <c r="BA133" s="178"/>
      <c r="BB133" s="178"/>
      <c r="BC133" s="178"/>
      <c r="BD133" s="178"/>
      <c r="BE133" s="178"/>
      <c r="BF133" s="178"/>
      <c r="BG133" s="178"/>
      <c r="BH133" s="178"/>
      <c r="BI133" s="178"/>
      <c r="BJ133" s="178"/>
      <c r="BK133" s="178"/>
      <c r="BL133" s="178"/>
      <c r="BM133" s="178"/>
      <c r="BN133" s="178"/>
      <c r="BO133" s="178"/>
    </row>
    <row r="134" spans="1:67" s="8" customFormat="1" ht="15" customHeight="1">
      <c r="A134" s="178"/>
      <c r="B134" s="178"/>
      <c r="C134" s="178"/>
      <c r="D134" s="178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  <c r="R134" s="178"/>
      <c r="S134" s="178"/>
      <c r="T134" s="178"/>
      <c r="U134" s="178"/>
      <c r="V134" s="178"/>
      <c r="W134" s="178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78"/>
      <c r="AM134" s="178"/>
      <c r="AN134" s="178"/>
      <c r="AO134" s="178"/>
      <c r="AP134" s="178"/>
      <c r="AQ134" s="178"/>
      <c r="AR134" s="178"/>
      <c r="AS134" s="178"/>
      <c r="AT134" s="178"/>
      <c r="AU134" s="178"/>
      <c r="AV134" s="178"/>
      <c r="AW134" s="178"/>
      <c r="AX134" s="178"/>
      <c r="AY134" s="178"/>
      <c r="AZ134" s="178"/>
      <c r="BA134" s="178"/>
      <c r="BB134" s="178"/>
      <c r="BC134" s="178"/>
      <c r="BD134" s="178"/>
      <c r="BE134" s="178"/>
      <c r="BF134" s="178"/>
      <c r="BG134" s="178"/>
      <c r="BH134" s="178"/>
      <c r="BI134" s="178"/>
      <c r="BJ134" s="178"/>
      <c r="BK134" s="178"/>
      <c r="BL134" s="178"/>
      <c r="BM134" s="178"/>
      <c r="BN134" s="178"/>
      <c r="BO134" s="178"/>
    </row>
    <row r="135" spans="1:67" s="8" customFormat="1" ht="15" customHeight="1">
      <c r="A135" s="178"/>
      <c r="B135" s="178"/>
      <c r="C135" s="178"/>
      <c r="D135" s="178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  <c r="T135" s="178"/>
      <c r="U135" s="178"/>
      <c r="V135" s="178"/>
      <c r="W135" s="178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78"/>
      <c r="AM135" s="178"/>
      <c r="AN135" s="178"/>
      <c r="AO135" s="178"/>
      <c r="AP135" s="178"/>
      <c r="AQ135" s="178"/>
      <c r="AR135" s="178"/>
      <c r="AS135" s="178"/>
      <c r="AT135" s="178"/>
      <c r="AU135" s="178"/>
      <c r="AV135" s="178"/>
      <c r="AW135" s="178"/>
      <c r="AX135" s="178"/>
      <c r="AY135" s="178"/>
      <c r="AZ135" s="178"/>
      <c r="BA135" s="178"/>
      <c r="BB135" s="178"/>
      <c r="BC135" s="178"/>
      <c r="BD135" s="178"/>
      <c r="BE135" s="178"/>
      <c r="BF135" s="178"/>
      <c r="BG135" s="178"/>
      <c r="BH135" s="178"/>
      <c r="BI135" s="178"/>
      <c r="BJ135" s="178"/>
      <c r="BK135" s="178"/>
      <c r="BL135" s="178"/>
      <c r="BM135" s="178"/>
      <c r="BN135" s="178"/>
      <c r="BO135" s="178"/>
    </row>
    <row r="136" spans="1:67" s="8" customFormat="1" ht="15" customHeight="1">
      <c r="A136" s="178"/>
      <c r="B136" s="178"/>
      <c r="C136" s="178"/>
      <c r="D136" s="178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  <c r="R136" s="178"/>
      <c r="S136" s="178"/>
      <c r="T136" s="178"/>
      <c r="U136" s="178"/>
      <c r="V136" s="178"/>
      <c r="W136" s="178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78"/>
      <c r="AM136" s="178"/>
      <c r="AN136" s="178"/>
      <c r="AO136" s="178"/>
      <c r="AP136" s="178"/>
      <c r="AQ136" s="178"/>
      <c r="AR136" s="178"/>
      <c r="AS136" s="178"/>
      <c r="AT136" s="178"/>
      <c r="AU136" s="178"/>
      <c r="AV136" s="178"/>
      <c r="AW136" s="178"/>
      <c r="AX136" s="178"/>
      <c r="AY136" s="178"/>
      <c r="AZ136" s="178"/>
      <c r="BA136" s="178"/>
      <c r="BB136" s="178"/>
      <c r="BC136" s="178"/>
      <c r="BD136" s="178"/>
      <c r="BE136" s="178"/>
      <c r="BF136" s="178"/>
      <c r="BG136" s="178"/>
      <c r="BH136" s="178"/>
      <c r="BI136" s="178"/>
      <c r="BJ136" s="178"/>
      <c r="BK136" s="178"/>
      <c r="BL136" s="178"/>
      <c r="BM136" s="178"/>
      <c r="BN136" s="178"/>
      <c r="BO136" s="178"/>
    </row>
    <row r="137" spans="1:67" s="8" customFormat="1" ht="15" customHeight="1">
      <c r="A137" s="178"/>
      <c r="B137" s="178"/>
      <c r="C137" s="178"/>
      <c r="D137" s="178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78"/>
      <c r="AM137" s="178"/>
      <c r="AN137" s="178"/>
      <c r="AO137" s="178"/>
      <c r="AP137" s="178"/>
      <c r="AQ137" s="178"/>
      <c r="AR137" s="178"/>
      <c r="AS137" s="178"/>
      <c r="AT137" s="178"/>
      <c r="AU137" s="178"/>
      <c r="AV137" s="178"/>
      <c r="AW137" s="178"/>
      <c r="AX137" s="178"/>
      <c r="AY137" s="178"/>
      <c r="AZ137" s="178"/>
      <c r="BA137" s="178"/>
      <c r="BB137" s="178"/>
      <c r="BC137" s="178"/>
      <c r="BD137" s="178"/>
      <c r="BE137" s="178"/>
      <c r="BF137" s="178"/>
      <c r="BG137" s="178"/>
      <c r="BH137" s="178"/>
      <c r="BI137" s="178"/>
      <c r="BJ137" s="178"/>
      <c r="BK137" s="178"/>
      <c r="BL137" s="178"/>
      <c r="BM137" s="178"/>
      <c r="BN137" s="178"/>
      <c r="BO137" s="178"/>
    </row>
    <row r="138" spans="1:67" s="8" customFormat="1" ht="15" customHeight="1">
      <c r="A138" s="178"/>
      <c r="B138" s="178"/>
      <c r="C138" s="178"/>
      <c r="D138" s="178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8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178"/>
      <c r="AJ138" s="178"/>
      <c r="AK138" s="178"/>
      <c r="AL138" s="178"/>
      <c r="AM138" s="178"/>
      <c r="AN138" s="178"/>
      <c r="AO138" s="178"/>
      <c r="AP138" s="178"/>
      <c r="AQ138" s="178"/>
      <c r="AR138" s="178"/>
      <c r="AS138" s="178"/>
      <c r="AT138" s="178"/>
      <c r="AU138" s="178"/>
      <c r="AV138" s="178"/>
      <c r="AW138" s="178"/>
      <c r="AX138" s="178"/>
      <c r="AY138" s="178"/>
      <c r="AZ138" s="178"/>
      <c r="BA138" s="178"/>
      <c r="BB138" s="178"/>
      <c r="BC138" s="178"/>
      <c r="BD138" s="178"/>
      <c r="BE138" s="178"/>
      <c r="BF138" s="178"/>
      <c r="BG138" s="178"/>
      <c r="BH138" s="178"/>
      <c r="BI138" s="178"/>
      <c r="BJ138" s="178"/>
      <c r="BK138" s="178"/>
      <c r="BL138" s="178"/>
      <c r="BM138" s="178"/>
      <c r="BN138" s="178"/>
      <c r="BO138" s="178"/>
    </row>
    <row r="139" spans="1:67" s="8" customFormat="1" ht="15" customHeight="1">
      <c r="A139" s="178"/>
      <c r="B139" s="178"/>
      <c r="C139" s="178"/>
      <c r="D139" s="178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  <c r="R139" s="178"/>
      <c r="S139" s="178"/>
      <c r="T139" s="178"/>
      <c r="U139" s="178"/>
      <c r="V139" s="178"/>
      <c r="W139" s="178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178"/>
      <c r="AH139" s="178"/>
      <c r="AI139" s="178"/>
      <c r="AJ139" s="178"/>
      <c r="AK139" s="178"/>
      <c r="AL139" s="178"/>
      <c r="AM139" s="178"/>
      <c r="AN139" s="178"/>
      <c r="AO139" s="178"/>
      <c r="AP139" s="178"/>
      <c r="AQ139" s="178"/>
      <c r="AR139" s="178"/>
      <c r="AS139" s="178"/>
      <c r="AT139" s="178"/>
      <c r="AU139" s="178"/>
      <c r="AV139" s="178"/>
      <c r="AW139" s="178"/>
      <c r="AX139" s="178"/>
      <c r="AY139" s="178"/>
      <c r="AZ139" s="178"/>
      <c r="BA139" s="178"/>
      <c r="BB139" s="178"/>
      <c r="BC139" s="178"/>
      <c r="BD139" s="178"/>
      <c r="BE139" s="178"/>
      <c r="BF139" s="178"/>
      <c r="BG139" s="178"/>
      <c r="BH139" s="178"/>
      <c r="BI139" s="178"/>
      <c r="BJ139" s="178"/>
      <c r="BK139" s="178"/>
      <c r="BL139" s="178"/>
      <c r="BM139" s="178"/>
      <c r="BN139" s="178"/>
      <c r="BO139" s="178"/>
    </row>
    <row r="140" spans="1:67" s="8" customFormat="1" ht="15" customHeight="1">
      <c r="A140" s="178"/>
      <c r="B140" s="178"/>
      <c r="C140" s="178"/>
      <c r="D140" s="178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  <c r="R140" s="178"/>
      <c r="S140" s="178"/>
      <c r="T140" s="178"/>
      <c r="U140" s="178"/>
      <c r="V140" s="178"/>
      <c r="W140" s="178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178"/>
      <c r="AH140" s="178"/>
      <c r="AI140" s="178"/>
      <c r="AJ140" s="178"/>
      <c r="AK140" s="178"/>
      <c r="AL140" s="178"/>
      <c r="AM140" s="178"/>
      <c r="AN140" s="178"/>
      <c r="AO140" s="178"/>
      <c r="AP140" s="178"/>
      <c r="AQ140" s="178"/>
      <c r="AR140" s="178"/>
      <c r="AS140" s="178"/>
      <c r="AT140" s="178"/>
      <c r="AU140" s="178"/>
      <c r="AV140" s="178"/>
      <c r="AW140" s="178"/>
      <c r="AX140" s="178"/>
      <c r="AY140" s="178"/>
      <c r="AZ140" s="178"/>
      <c r="BA140" s="178"/>
      <c r="BB140" s="178"/>
      <c r="BC140" s="178"/>
      <c r="BD140" s="178"/>
      <c r="BE140" s="178"/>
      <c r="BF140" s="178"/>
      <c r="BG140" s="178"/>
      <c r="BH140" s="178"/>
      <c r="BI140" s="178"/>
      <c r="BJ140" s="178"/>
      <c r="BK140" s="178"/>
      <c r="BL140" s="178"/>
      <c r="BM140" s="178"/>
      <c r="BN140" s="178"/>
      <c r="BO140" s="178"/>
    </row>
    <row r="141" spans="1:67" s="8" customFormat="1" ht="15" customHeight="1">
      <c r="A141" s="178"/>
      <c r="B141" s="178"/>
      <c r="C141" s="178"/>
      <c r="D141" s="178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8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178"/>
      <c r="AH141" s="178"/>
      <c r="AI141" s="178"/>
      <c r="AJ141" s="178"/>
      <c r="AK141" s="178"/>
      <c r="AL141" s="178"/>
      <c r="AM141" s="178"/>
      <c r="AN141" s="178"/>
      <c r="AO141" s="178"/>
      <c r="AP141" s="178"/>
      <c r="AQ141" s="178"/>
      <c r="AR141" s="178"/>
      <c r="AS141" s="178"/>
      <c r="AT141" s="178"/>
      <c r="AU141" s="178"/>
      <c r="AV141" s="178"/>
      <c r="AW141" s="178"/>
      <c r="AX141" s="178"/>
      <c r="AY141" s="178"/>
      <c r="AZ141" s="178"/>
      <c r="BA141" s="178"/>
      <c r="BB141" s="178"/>
      <c r="BC141" s="178"/>
      <c r="BD141" s="178"/>
      <c r="BE141" s="178"/>
      <c r="BF141" s="178"/>
      <c r="BG141" s="178"/>
      <c r="BH141" s="178"/>
      <c r="BI141" s="178"/>
      <c r="BJ141" s="178"/>
      <c r="BK141" s="178"/>
      <c r="BL141" s="178"/>
      <c r="BM141" s="178"/>
      <c r="BN141" s="178"/>
      <c r="BO141" s="178"/>
    </row>
    <row r="142" spans="1:67" s="8" customFormat="1" ht="15" customHeight="1">
      <c r="A142" s="178"/>
      <c r="B142" s="178"/>
      <c r="C142" s="178"/>
      <c r="D142" s="178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  <c r="R142" s="178"/>
      <c r="S142" s="178"/>
      <c r="T142" s="178"/>
      <c r="U142" s="178"/>
      <c r="V142" s="178"/>
      <c r="W142" s="178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178"/>
      <c r="AH142" s="178"/>
      <c r="AI142" s="178"/>
      <c r="AJ142" s="178"/>
      <c r="AK142" s="178"/>
      <c r="AL142" s="178"/>
      <c r="AM142" s="178"/>
      <c r="AN142" s="178"/>
      <c r="AO142" s="178"/>
      <c r="AP142" s="178"/>
      <c r="AQ142" s="178"/>
      <c r="AR142" s="178"/>
      <c r="AS142" s="178"/>
      <c r="AT142" s="178"/>
      <c r="AU142" s="178"/>
      <c r="AV142" s="178"/>
      <c r="AW142" s="178"/>
      <c r="AX142" s="178"/>
      <c r="AY142" s="178"/>
      <c r="AZ142" s="178"/>
      <c r="BA142" s="178"/>
      <c r="BB142" s="178"/>
      <c r="BC142" s="178"/>
      <c r="BD142" s="178"/>
      <c r="BE142" s="178"/>
      <c r="BF142" s="178"/>
      <c r="BG142" s="178"/>
      <c r="BH142" s="178"/>
      <c r="BI142" s="178"/>
      <c r="BJ142" s="178"/>
      <c r="BK142" s="178"/>
      <c r="BL142" s="178"/>
      <c r="BM142" s="178"/>
      <c r="BN142" s="178"/>
      <c r="BO142" s="178"/>
    </row>
    <row r="143" spans="1:67" s="8" customFormat="1" ht="15" customHeight="1">
      <c r="A143" s="178"/>
      <c r="B143" s="178"/>
      <c r="C143" s="178"/>
      <c r="D143" s="178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  <c r="R143" s="178"/>
      <c r="S143" s="178"/>
      <c r="T143" s="178"/>
      <c r="U143" s="178"/>
      <c r="V143" s="178"/>
      <c r="W143" s="178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178"/>
      <c r="AH143" s="178"/>
      <c r="AI143" s="178"/>
      <c r="AJ143" s="178"/>
      <c r="AK143" s="178"/>
      <c r="AL143" s="178"/>
      <c r="AM143" s="178"/>
      <c r="AN143" s="178"/>
      <c r="AO143" s="178"/>
      <c r="AP143" s="178"/>
      <c r="AQ143" s="178"/>
      <c r="AR143" s="178"/>
      <c r="AS143" s="178"/>
      <c r="AT143" s="178"/>
      <c r="AU143" s="178"/>
      <c r="AV143" s="178"/>
      <c r="AW143" s="178"/>
      <c r="AX143" s="178"/>
      <c r="AY143" s="178"/>
      <c r="AZ143" s="178"/>
      <c r="BA143" s="178"/>
      <c r="BB143" s="178"/>
      <c r="BC143" s="178"/>
      <c r="BD143" s="178"/>
      <c r="BE143" s="178"/>
      <c r="BF143" s="178"/>
      <c r="BG143" s="178"/>
      <c r="BH143" s="178"/>
      <c r="BI143" s="178"/>
      <c r="BJ143" s="178"/>
      <c r="BK143" s="178"/>
      <c r="BL143" s="178"/>
      <c r="BM143" s="178"/>
      <c r="BN143" s="178"/>
      <c r="BO143" s="178"/>
    </row>
    <row r="144" spans="1:67" s="8" customFormat="1" ht="15" customHeight="1">
      <c r="A144" s="178"/>
      <c r="B144" s="178"/>
      <c r="C144" s="178"/>
      <c r="D144" s="178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78"/>
      <c r="AM144" s="178"/>
      <c r="AN144" s="178"/>
      <c r="AO144" s="178"/>
      <c r="AP144" s="178"/>
      <c r="AQ144" s="178"/>
      <c r="AR144" s="178"/>
      <c r="AS144" s="178"/>
      <c r="AT144" s="178"/>
      <c r="AU144" s="178"/>
      <c r="AV144" s="178"/>
      <c r="AW144" s="178"/>
      <c r="AX144" s="178"/>
      <c r="AY144" s="178"/>
      <c r="AZ144" s="178"/>
      <c r="BA144" s="178"/>
      <c r="BB144" s="178"/>
      <c r="BC144" s="178"/>
      <c r="BD144" s="178"/>
      <c r="BE144" s="178"/>
      <c r="BF144" s="178"/>
      <c r="BG144" s="178"/>
      <c r="BH144" s="178"/>
      <c r="BI144" s="178"/>
      <c r="BJ144" s="178"/>
      <c r="BK144" s="178"/>
      <c r="BL144" s="178"/>
      <c r="BM144" s="178"/>
      <c r="BN144" s="178"/>
      <c r="BO144" s="178"/>
    </row>
    <row r="145" spans="1:67" s="8" customFormat="1" ht="15" customHeight="1">
      <c r="A145" s="178"/>
      <c r="B145" s="178"/>
      <c r="C145" s="178"/>
      <c r="D145" s="178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  <c r="R145" s="178"/>
      <c r="S145" s="178"/>
      <c r="T145" s="178"/>
      <c r="U145" s="178"/>
      <c r="V145" s="178"/>
      <c r="W145" s="178"/>
      <c r="X145" s="178"/>
      <c r="Y145" s="178"/>
      <c r="Z145" s="178"/>
      <c r="AA145" s="178"/>
      <c r="AB145" s="178"/>
      <c r="AC145" s="178"/>
      <c r="AD145" s="178"/>
      <c r="AE145" s="178"/>
      <c r="AF145" s="178"/>
      <c r="AG145" s="178"/>
      <c r="AH145" s="178"/>
      <c r="AI145" s="178"/>
      <c r="AJ145" s="178"/>
      <c r="AK145" s="178"/>
      <c r="AL145" s="178"/>
      <c r="AM145" s="178"/>
      <c r="AN145" s="178"/>
      <c r="AO145" s="178"/>
      <c r="AP145" s="178"/>
      <c r="AQ145" s="178"/>
      <c r="AR145" s="178"/>
      <c r="AS145" s="178"/>
      <c r="AT145" s="178"/>
      <c r="AU145" s="178"/>
      <c r="AV145" s="178"/>
      <c r="AW145" s="178"/>
      <c r="AX145" s="178"/>
      <c r="AY145" s="178"/>
      <c r="AZ145" s="178"/>
      <c r="BA145" s="178"/>
      <c r="BB145" s="178"/>
      <c r="BC145" s="178"/>
      <c r="BD145" s="178"/>
      <c r="BE145" s="178"/>
      <c r="BF145" s="178"/>
      <c r="BG145" s="178"/>
      <c r="BH145" s="178"/>
      <c r="BI145" s="178"/>
      <c r="BJ145" s="178"/>
      <c r="BK145" s="178"/>
      <c r="BL145" s="178"/>
      <c r="BM145" s="178"/>
      <c r="BN145" s="178"/>
      <c r="BO145" s="178"/>
    </row>
    <row r="146" spans="1:67" s="8" customFormat="1" ht="15" customHeight="1">
      <c r="A146" s="178"/>
      <c r="B146" s="178"/>
      <c r="C146" s="178"/>
      <c r="D146" s="178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8"/>
      <c r="X146" s="178"/>
      <c r="Y146" s="178"/>
      <c r="Z146" s="178"/>
      <c r="AA146" s="178"/>
      <c r="AB146" s="178"/>
      <c r="AC146" s="178"/>
      <c r="AD146" s="178"/>
      <c r="AE146" s="178"/>
      <c r="AF146" s="178"/>
      <c r="AG146" s="178"/>
      <c r="AH146" s="178"/>
      <c r="AI146" s="178"/>
      <c r="AJ146" s="178"/>
      <c r="AK146" s="178"/>
      <c r="AL146" s="178"/>
      <c r="AM146" s="178"/>
      <c r="AN146" s="178"/>
      <c r="AO146" s="178"/>
      <c r="AP146" s="178"/>
      <c r="AQ146" s="178"/>
      <c r="AR146" s="178"/>
      <c r="AS146" s="178"/>
      <c r="AT146" s="178"/>
      <c r="AU146" s="178"/>
      <c r="AV146" s="178"/>
      <c r="AW146" s="178"/>
      <c r="AX146" s="178"/>
      <c r="AY146" s="178"/>
      <c r="AZ146" s="178"/>
      <c r="BA146" s="178"/>
      <c r="BB146" s="178"/>
      <c r="BC146" s="178"/>
      <c r="BD146" s="178"/>
      <c r="BE146" s="178"/>
      <c r="BF146" s="178"/>
      <c r="BG146" s="178"/>
      <c r="BH146" s="178"/>
      <c r="BI146" s="178"/>
      <c r="BJ146" s="178"/>
      <c r="BK146" s="178"/>
      <c r="BL146" s="178"/>
      <c r="BM146" s="178"/>
      <c r="BN146" s="178"/>
      <c r="BO146" s="178"/>
    </row>
    <row r="147" spans="1:67" s="8" customFormat="1" ht="15" customHeight="1">
      <c r="A147" s="178"/>
      <c r="B147" s="178"/>
      <c r="C147" s="178"/>
      <c r="D147" s="178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8"/>
      <c r="X147" s="178"/>
      <c r="Y147" s="178"/>
      <c r="Z147" s="178"/>
      <c r="AA147" s="178"/>
      <c r="AB147" s="178"/>
      <c r="AC147" s="178"/>
      <c r="AD147" s="178"/>
      <c r="AE147" s="178"/>
      <c r="AF147" s="178"/>
      <c r="AG147" s="178"/>
      <c r="AH147" s="178"/>
      <c r="AI147" s="178"/>
      <c r="AJ147" s="178"/>
      <c r="AK147" s="178"/>
      <c r="AL147" s="178"/>
      <c r="AM147" s="178"/>
      <c r="AN147" s="178"/>
      <c r="AO147" s="178"/>
      <c r="AP147" s="178"/>
      <c r="AQ147" s="178"/>
      <c r="AR147" s="178"/>
      <c r="AS147" s="178"/>
      <c r="AT147" s="178"/>
      <c r="AU147" s="178"/>
      <c r="AV147" s="178"/>
      <c r="AW147" s="178"/>
      <c r="AX147" s="178"/>
      <c r="AY147" s="178"/>
      <c r="AZ147" s="178"/>
      <c r="BA147" s="178"/>
      <c r="BB147" s="178"/>
      <c r="BC147" s="178"/>
      <c r="BD147" s="178"/>
      <c r="BE147" s="178"/>
      <c r="BF147" s="178"/>
      <c r="BG147" s="178"/>
      <c r="BH147" s="178"/>
      <c r="BI147" s="178"/>
      <c r="BJ147" s="178"/>
      <c r="BK147" s="178"/>
      <c r="BL147" s="178"/>
      <c r="BM147" s="178"/>
      <c r="BN147" s="178"/>
      <c r="BO147" s="178"/>
    </row>
    <row r="148" spans="1:67" s="8" customFormat="1" ht="15" customHeight="1">
      <c r="A148" s="178"/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  <c r="R148" s="178"/>
      <c r="S148" s="178"/>
      <c r="T148" s="178"/>
      <c r="U148" s="178"/>
      <c r="V148" s="178"/>
      <c r="W148" s="178"/>
      <c r="X148" s="178"/>
      <c r="Y148" s="178"/>
      <c r="Z148" s="178"/>
      <c r="AA148" s="178"/>
      <c r="AB148" s="178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78"/>
      <c r="AM148" s="178"/>
      <c r="AN148" s="178"/>
      <c r="AO148" s="178"/>
      <c r="AP148" s="178"/>
      <c r="AQ148" s="178"/>
      <c r="AR148" s="178"/>
      <c r="AS148" s="178"/>
      <c r="AT148" s="178"/>
      <c r="AU148" s="178"/>
      <c r="AV148" s="178"/>
      <c r="AW148" s="178"/>
      <c r="AX148" s="178"/>
      <c r="AY148" s="178"/>
      <c r="AZ148" s="178"/>
      <c r="BA148" s="178"/>
      <c r="BB148" s="178"/>
      <c r="BC148" s="178"/>
      <c r="BD148" s="178"/>
      <c r="BE148" s="178"/>
      <c r="BF148" s="178"/>
      <c r="BG148" s="178"/>
      <c r="BH148" s="178"/>
      <c r="BI148" s="178"/>
      <c r="BJ148" s="178"/>
      <c r="BK148" s="178"/>
      <c r="BL148" s="178"/>
      <c r="BM148" s="178"/>
      <c r="BN148" s="178"/>
      <c r="BO148" s="178"/>
    </row>
    <row r="149" spans="1:67" s="8" customFormat="1" ht="15" customHeight="1">
      <c r="A149" s="178"/>
      <c r="B149" s="178"/>
      <c r="C149" s="178"/>
      <c r="D149" s="178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  <c r="R149" s="178"/>
      <c r="S149" s="178"/>
      <c r="T149" s="178"/>
      <c r="U149" s="178"/>
      <c r="V149" s="178"/>
      <c r="W149" s="178"/>
      <c r="X149" s="178"/>
      <c r="Y149" s="178"/>
      <c r="Z149" s="178"/>
      <c r="AA149" s="178"/>
      <c r="AB149" s="178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78"/>
      <c r="AM149" s="178"/>
      <c r="AN149" s="178"/>
      <c r="AO149" s="178"/>
      <c r="AP149" s="178"/>
      <c r="AQ149" s="178"/>
      <c r="AR149" s="178"/>
      <c r="AS149" s="178"/>
      <c r="AT149" s="178"/>
      <c r="AU149" s="178"/>
      <c r="AV149" s="178"/>
      <c r="AW149" s="178"/>
      <c r="AX149" s="178"/>
      <c r="AY149" s="178"/>
      <c r="AZ149" s="178"/>
      <c r="BA149" s="178"/>
      <c r="BB149" s="178"/>
      <c r="BC149" s="178"/>
      <c r="BD149" s="178"/>
      <c r="BE149" s="178"/>
      <c r="BF149" s="178"/>
      <c r="BG149" s="178"/>
      <c r="BH149" s="178"/>
      <c r="BI149" s="178"/>
      <c r="BJ149" s="178"/>
      <c r="BK149" s="178"/>
      <c r="BL149" s="178"/>
      <c r="BM149" s="178"/>
      <c r="BN149" s="178"/>
      <c r="BO149" s="178"/>
    </row>
    <row r="150" spans="1:67" s="8" customFormat="1" ht="15" customHeight="1">
      <c r="A150" s="178"/>
      <c r="B150" s="178"/>
      <c r="C150" s="178"/>
      <c r="D150" s="178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  <c r="R150" s="178"/>
      <c r="S150" s="178"/>
      <c r="T150" s="178"/>
      <c r="U150" s="178"/>
      <c r="V150" s="178"/>
      <c r="W150" s="178"/>
      <c r="X150" s="178"/>
      <c r="Y150" s="178"/>
      <c r="Z150" s="178"/>
      <c r="AA150" s="178"/>
      <c r="AB150" s="178"/>
      <c r="AC150" s="178"/>
      <c r="AD150" s="178"/>
      <c r="AE150" s="178"/>
      <c r="AF150" s="178"/>
      <c r="AG150" s="178"/>
      <c r="AH150" s="178"/>
      <c r="AI150" s="178"/>
      <c r="AJ150" s="178"/>
      <c r="AK150" s="178"/>
      <c r="AL150" s="178"/>
      <c r="AM150" s="178"/>
      <c r="AN150" s="178"/>
      <c r="AO150" s="178"/>
      <c r="AP150" s="178"/>
      <c r="AQ150" s="178"/>
      <c r="AR150" s="178"/>
      <c r="AS150" s="178"/>
      <c r="AT150" s="178"/>
      <c r="AU150" s="178"/>
      <c r="AV150" s="178"/>
      <c r="AW150" s="178"/>
      <c r="AX150" s="178"/>
      <c r="AY150" s="178"/>
      <c r="AZ150" s="178"/>
      <c r="BA150" s="178"/>
      <c r="BB150" s="178"/>
      <c r="BC150" s="178"/>
      <c r="BD150" s="178"/>
      <c r="BE150" s="178"/>
      <c r="BF150" s="178"/>
      <c r="BG150" s="178"/>
      <c r="BH150" s="178"/>
      <c r="BI150" s="178"/>
      <c r="BJ150" s="178"/>
      <c r="BK150" s="178"/>
      <c r="BL150" s="178"/>
      <c r="BM150" s="178"/>
      <c r="BN150" s="178"/>
      <c r="BO150" s="178"/>
    </row>
    <row r="151" spans="1:67" s="8" customFormat="1" ht="15" customHeight="1">
      <c r="A151" s="178"/>
      <c r="B151" s="178"/>
      <c r="C151" s="178"/>
      <c r="D151" s="178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  <c r="R151" s="178"/>
      <c r="S151" s="178"/>
      <c r="T151" s="178"/>
      <c r="U151" s="178"/>
      <c r="V151" s="178"/>
      <c r="W151" s="178"/>
      <c r="X151" s="178"/>
      <c r="Y151" s="178"/>
      <c r="Z151" s="178"/>
      <c r="AA151" s="178"/>
      <c r="AB151" s="178"/>
      <c r="AC151" s="178"/>
      <c r="AD151" s="178"/>
      <c r="AE151" s="178"/>
      <c r="AF151" s="178"/>
      <c r="AG151" s="178"/>
      <c r="AH151" s="178"/>
      <c r="AI151" s="178"/>
      <c r="AJ151" s="178"/>
      <c r="AK151" s="178"/>
      <c r="AL151" s="178"/>
      <c r="AM151" s="178"/>
      <c r="AN151" s="178"/>
      <c r="AO151" s="178"/>
      <c r="AP151" s="178"/>
      <c r="AQ151" s="178"/>
      <c r="AR151" s="178"/>
      <c r="AS151" s="178"/>
      <c r="AT151" s="178"/>
      <c r="AU151" s="178"/>
      <c r="AV151" s="178"/>
      <c r="AW151" s="178"/>
      <c r="AX151" s="178"/>
      <c r="AY151" s="178"/>
      <c r="AZ151" s="178"/>
      <c r="BA151" s="178"/>
      <c r="BB151" s="178"/>
      <c r="BC151" s="178"/>
      <c r="BD151" s="178"/>
      <c r="BE151" s="178"/>
      <c r="BF151" s="178"/>
      <c r="BG151" s="178"/>
      <c r="BH151" s="178"/>
      <c r="BI151" s="178"/>
      <c r="BJ151" s="178"/>
      <c r="BK151" s="178"/>
      <c r="BL151" s="178"/>
      <c r="BM151" s="178"/>
      <c r="BN151" s="178"/>
      <c r="BO151" s="178"/>
    </row>
    <row r="152" spans="1:67" s="8" customFormat="1" ht="15" customHeight="1">
      <c r="A152" s="178"/>
      <c r="B152" s="178"/>
      <c r="C152" s="178"/>
      <c r="D152" s="178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178"/>
      <c r="U152" s="178"/>
      <c r="V152" s="178"/>
      <c r="W152" s="178"/>
      <c r="X152" s="178"/>
      <c r="Y152" s="178"/>
      <c r="Z152" s="178"/>
      <c r="AA152" s="178"/>
      <c r="AB152" s="178"/>
      <c r="AC152" s="178"/>
      <c r="AD152" s="178"/>
      <c r="AE152" s="178"/>
      <c r="AF152" s="178"/>
      <c r="AG152" s="178"/>
      <c r="AH152" s="178"/>
      <c r="AI152" s="178"/>
      <c r="AJ152" s="178"/>
      <c r="AK152" s="178"/>
      <c r="AL152" s="178"/>
      <c r="AM152" s="178"/>
      <c r="AN152" s="178"/>
      <c r="AO152" s="178"/>
      <c r="AP152" s="178"/>
      <c r="AQ152" s="178"/>
      <c r="AR152" s="178"/>
      <c r="AS152" s="178"/>
      <c r="AT152" s="178"/>
      <c r="AU152" s="178"/>
      <c r="AV152" s="178"/>
      <c r="AW152" s="178"/>
      <c r="AX152" s="178"/>
      <c r="AY152" s="178"/>
      <c r="AZ152" s="178"/>
      <c r="BA152" s="178"/>
      <c r="BB152" s="178"/>
      <c r="BC152" s="178"/>
      <c r="BD152" s="178"/>
      <c r="BE152" s="178"/>
      <c r="BF152" s="178"/>
      <c r="BG152" s="178"/>
      <c r="BH152" s="178"/>
      <c r="BI152" s="178"/>
      <c r="BJ152" s="178"/>
      <c r="BK152" s="178"/>
      <c r="BL152" s="178"/>
      <c r="BM152" s="178"/>
      <c r="BN152" s="178"/>
      <c r="BO152" s="178"/>
    </row>
    <row r="153" spans="1:67" s="8" customFormat="1" ht="15" customHeight="1">
      <c r="A153" s="178"/>
      <c r="B153" s="178"/>
      <c r="C153" s="178"/>
      <c r="D153" s="178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  <c r="R153" s="178"/>
      <c r="S153" s="178"/>
      <c r="T153" s="178"/>
      <c r="U153" s="178"/>
      <c r="V153" s="178"/>
      <c r="W153" s="178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78"/>
      <c r="AM153" s="178"/>
      <c r="AN153" s="178"/>
      <c r="AO153" s="178"/>
      <c r="AP153" s="178"/>
      <c r="AQ153" s="178"/>
      <c r="AR153" s="178"/>
      <c r="AS153" s="178"/>
      <c r="AT153" s="178"/>
      <c r="AU153" s="178"/>
      <c r="AV153" s="178"/>
      <c r="AW153" s="178"/>
      <c r="AX153" s="178"/>
      <c r="AY153" s="178"/>
      <c r="AZ153" s="178"/>
      <c r="BA153" s="178"/>
      <c r="BB153" s="178"/>
      <c r="BC153" s="178"/>
      <c r="BD153" s="178"/>
      <c r="BE153" s="178"/>
      <c r="BF153" s="178"/>
      <c r="BG153" s="178"/>
      <c r="BH153" s="178"/>
      <c r="BI153" s="178"/>
      <c r="BJ153" s="178"/>
      <c r="BK153" s="178"/>
      <c r="BL153" s="178"/>
      <c r="BM153" s="178"/>
      <c r="BN153" s="178"/>
      <c r="BO153" s="178"/>
    </row>
    <row r="154" spans="1:67" s="8" customFormat="1" ht="15" customHeight="1">
      <c r="A154" s="178"/>
      <c r="B154" s="178"/>
      <c r="C154" s="178"/>
      <c r="D154" s="178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  <c r="R154" s="178"/>
      <c r="S154" s="178"/>
      <c r="T154" s="178"/>
      <c r="U154" s="178"/>
      <c r="V154" s="178"/>
      <c r="W154" s="178"/>
      <c r="X154" s="178"/>
      <c r="Y154" s="178"/>
      <c r="Z154" s="178"/>
      <c r="AA154" s="178"/>
      <c r="AB154" s="178"/>
      <c r="AC154" s="178"/>
      <c r="AD154" s="178"/>
      <c r="AE154" s="178"/>
      <c r="AF154" s="178"/>
      <c r="AG154" s="178"/>
      <c r="AH154" s="178"/>
      <c r="AI154" s="178"/>
      <c r="AJ154" s="178"/>
      <c r="AK154" s="178"/>
      <c r="AL154" s="178"/>
      <c r="AM154" s="178"/>
      <c r="AN154" s="178"/>
      <c r="AO154" s="178"/>
      <c r="AP154" s="178"/>
      <c r="AQ154" s="178"/>
      <c r="AR154" s="178"/>
      <c r="AS154" s="178"/>
      <c r="AT154" s="178"/>
      <c r="AU154" s="178"/>
      <c r="AV154" s="178"/>
      <c r="AW154" s="178"/>
      <c r="AX154" s="178"/>
      <c r="AY154" s="178"/>
      <c r="AZ154" s="178"/>
      <c r="BA154" s="178"/>
      <c r="BB154" s="178"/>
      <c r="BC154" s="178"/>
      <c r="BD154" s="178"/>
      <c r="BE154" s="178"/>
      <c r="BF154" s="178"/>
      <c r="BG154" s="178"/>
      <c r="BH154" s="178"/>
      <c r="BI154" s="178"/>
      <c r="BJ154" s="178"/>
      <c r="BK154" s="178"/>
      <c r="BL154" s="178"/>
      <c r="BM154" s="178"/>
      <c r="BN154" s="178"/>
      <c r="BO154" s="178"/>
    </row>
    <row r="155" spans="1:67" s="8" customFormat="1" ht="15" customHeight="1">
      <c r="A155" s="178"/>
      <c r="B155" s="178"/>
      <c r="C155" s="178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78"/>
      <c r="AI155" s="178"/>
      <c r="AJ155" s="178"/>
      <c r="AK155" s="178"/>
      <c r="AL155" s="178"/>
      <c r="AM155" s="178"/>
      <c r="AN155" s="178"/>
      <c r="AO155" s="178"/>
      <c r="AP155" s="178"/>
      <c r="AQ155" s="178"/>
      <c r="AR155" s="178"/>
      <c r="AS155" s="178"/>
      <c r="AT155" s="178"/>
      <c r="AU155" s="178"/>
      <c r="AV155" s="178"/>
      <c r="AW155" s="178"/>
      <c r="AX155" s="178"/>
      <c r="AY155" s="178"/>
      <c r="AZ155" s="178"/>
      <c r="BA155" s="178"/>
      <c r="BB155" s="178"/>
      <c r="BC155" s="178"/>
      <c r="BD155" s="178"/>
      <c r="BE155" s="178"/>
      <c r="BF155" s="178"/>
      <c r="BG155" s="178"/>
      <c r="BH155" s="178"/>
      <c r="BI155" s="178"/>
      <c r="BJ155" s="178"/>
      <c r="BK155" s="178"/>
      <c r="BL155" s="178"/>
      <c r="BM155" s="178"/>
      <c r="BN155" s="178"/>
      <c r="BO155" s="178"/>
    </row>
    <row r="156" spans="1:67" s="8" customFormat="1" ht="15" customHeight="1">
      <c r="A156" s="178"/>
      <c r="B156" s="178"/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178"/>
      <c r="AH156" s="178"/>
      <c r="AI156" s="178"/>
      <c r="AJ156" s="178"/>
      <c r="AK156" s="178"/>
      <c r="AL156" s="178"/>
      <c r="AM156" s="178"/>
      <c r="AN156" s="178"/>
      <c r="AO156" s="178"/>
      <c r="AP156" s="178"/>
      <c r="AQ156" s="178"/>
      <c r="AR156" s="178"/>
      <c r="AS156" s="178"/>
      <c r="AT156" s="178"/>
      <c r="AU156" s="178"/>
      <c r="AV156" s="178"/>
      <c r="AW156" s="178"/>
      <c r="AX156" s="178"/>
      <c r="AY156" s="178"/>
      <c r="AZ156" s="178"/>
      <c r="BA156" s="178"/>
      <c r="BB156" s="178"/>
      <c r="BC156" s="178"/>
      <c r="BD156" s="178"/>
      <c r="BE156" s="178"/>
      <c r="BF156" s="178"/>
      <c r="BG156" s="178"/>
      <c r="BH156" s="178"/>
      <c r="BI156" s="178"/>
      <c r="BJ156" s="178"/>
      <c r="BK156" s="178"/>
      <c r="BL156" s="178"/>
      <c r="BM156" s="178"/>
      <c r="BN156" s="178"/>
      <c r="BO156" s="178"/>
    </row>
    <row r="157" spans="1:67" s="8" customFormat="1" ht="15" customHeight="1">
      <c r="A157" s="178"/>
      <c r="B157" s="178"/>
      <c r="C157" s="178"/>
      <c r="D157" s="178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  <c r="R157" s="178"/>
      <c r="S157" s="178"/>
      <c r="T157" s="178"/>
      <c r="U157" s="178"/>
      <c r="V157" s="178"/>
      <c r="W157" s="178"/>
      <c r="X157" s="178"/>
      <c r="Y157" s="178"/>
      <c r="Z157" s="178"/>
      <c r="AA157" s="178"/>
      <c r="AB157" s="178"/>
      <c r="AC157" s="178"/>
      <c r="AD157" s="178"/>
      <c r="AE157" s="178"/>
      <c r="AF157" s="178"/>
      <c r="AG157" s="178"/>
      <c r="AH157" s="178"/>
      <c r="AI157" s="178"/>
      <c r="AJ157" s="178"/>
      <c r="AK157" s="178"/>
      <c r="AL157" s="178"/>
      <c r="AM157" s="178"/>
      <c r="AN157" s="178"/>
      <c r="AO157" s="178"/>
      <c r="AP157" s="178"/>
      <c r="AQ157" s="178"/>
      <c r="AR157" s="178"/>
      <c r="AS157" s="178"/>
      <c r="AT157" s="178"/>
      <c r="AU157" s="178"/>
      <c r="AV157" s="178"/>
      <c r="AW157" s="178"/>
      <c r="AX157" s="178"/>
      <c r="AY157" s="178"/>
      <c r="AZ157" s="178"/>
      <c r="BA157" s="178"/>
      <c r="BB157" s="178"/>
      <c r="BC157" s="178"/>
      <c r="BD157" s="178"/>
      <c r="BE157" s="178"/>
      <c r="BF157" s="178"/>
      <c r="BG157" s="178"/>
      <c r="BH157" s="178"/>
      <c r="BI157" s="178"/>
      <c r="BJ157" s="178"/>
      <c r="BK157" s="178"/>
      <c r="BL157" s="178"/>
      <c r="BM157" s="178"/>
      <c r="BN157" s="178"/>
      <c r="BO157" s="178"/>
    </row>
    <row r="158" spans="1:67" s="8" customFormat="1" ht="15" customHeight="1">
      <c r="A158" s="178"/>
      <c r="B158" s="178"/>
      <c r="C158" s="178"/>
      <c r="D158" s="178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  <c r="R158" s="178"/>
      <c r="S158" s="178"/>
      <c r="T158" s="178"/>
      <c r="U158" s="178"/>
      <c r="V158" s="178"/>
      <c r="W158" s="178"/>
      <c r="X158" s="178"/>
      <c r="Y158" s="178"/>
      <c r="Z158" s="178"/>
      <c r="AA158" s="178"/>
      <c r="AB158" s="178"/>
      <c r="AC158" s="178"/>
      <c r="AD158" s="178"/>
      <c r="AE158" s="178"/>
      <c r="AF158" s="178"/>
      <c r="AG158" s="178"/>
      <c r="AH158" s="178"/>
      <c r="AI158" s="178"/>
      <c r="AJ158" s="178"/>
      <c r="AK158" s="178"/>
      <c r="AL158" s="178"/>
      <c r="AM158" s="178"/>
      <c r="AN158" s="178"/>
      <c r="AO158" s="178"/>
      <c r="AP158" s="178"/>
      <c r="AQ158" s="178"/>
      <c r="AR158" s="178"/>
      <c r="AS158" s="178"/>
      <c r="AT158" s="178"/>
      <c r="AU158" s="178"/>
      <c r="AV158" s="178"/>
      <c r="AW158" s="178"/>
      <c r="AX158" s="178"/>
      <c r="AY158" s="178"/>
      <c r="AZ158" s="178"/>
      <c r="BA158" s="178"/>
      <c r="BB158" s="178"/>
      <c r="BC158" s="178"/>
      <c r="BD158" s="178"/>
      <c r="BE158" s="178"/>
      <c r="BF158" s="178"/>
      <c r="BG158" s="178"/>
      <c r="BH158" s="178"/>
      <c r="BI158" s="178"/>
      <c r="BJ158" s="178"/>
      <c r="BK158" s="178"/>
      <c r="BL158" s="178"/>
      <c r="BM158" s="178"/>
      <c r="BN158" s="178"/>
      <c r="BO158" s="178"/>
    </row>
    <row r="159" spans="1:67" s="8" customFormat="1" ht="15" customHeight="1">
      <c r="A159" s="178"/>
      <c r="B159" s="178"/>
      <c r="C159" s="178"/>
      <c r="D159" s="178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  <c r="R159" s="178"/>
      <c r="S159" s="178"/>
      <c r="T159" s="178"/>
      <c r="U159" s="178"/>
      <c r="V159" s="178"/>
      <c r="W159" s="178"/>
      <c r="X159" s="178"/>
      <c r="Y159" s="178"/>
      <c r="Z159" s="178"/>
      <c r="AA159" s="178"/>
      <c r="AB159" s="178"/>
      <c r="AC159" s="178"/>
      <c r="AD159" s="178"/>
      <c r="AE159" s="178"/>
      <c r="AF159" s="178"/>
      <c r="AG159" s="178"/>
      <c r="AH159" s="178"/>
      <c r="AI159" s="178"/>
      <c r="AJ159" s="178"/>
      <c r="AK159" s="178"/>
      <c r="AL159" s="178"/>
      <c r="AM159" s="178"/>
      <c r="AN159" s="178"/>
      <c r="AO159" s="178"/>
      <c r="AP159" s="178"/>
      <c r="AQ159" s="178"/>
      <c r="AR159" s="178"/>
      <c r="AS159" s="178"/>
      <c r="AT159" s="178"/>
      <c r="AU159" s="178"/>
      <c r="AV159" s="178"/>
      <c r="AW159" s="178"/>
      <c r="AX159" s="178"/>
      <c r="AY159" s="178"/>
      <c r="AZ159" s="178"/>
      <c r="BA159" s="178"/>
      <c r="BB159" s="178"/>
      <c r="BC159" s="178"/>
      <c r="BD159" s="178"/>
      <c r="BE159" s="178"/>
      <c r="BF159" s="178"/>
      <c r="BG159" s="178"/>
      <c r="BH159" s="178"/>
      <c r="BI159" s="178"/>
      <c r="BJ159" s="178"/>
      <c r="BK159" s="178"/>
      <c r="BL159" s="178"/>
      <c r="BM159" s="178"/>
      <c r="BN159" s="178"/>
      <c r="BO159" s="178"/>
    </row>
    <row r="160" spans="1:67" s="8" customFormat="1" ht="15" customHeight="1">
      <c r="A160" s="178"/>
      <c r="B160" s="178"/>
      <c r="C160" s="178"/>
      <c r="D160" s="178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  <c r="R160" s="178"/>
      <c r="S160" s="178"/>
      <c r="T160" s="178"/>
      <c r="U160" s="178"/>
      <c r="V160" s="178"/>
      <c r="W160" s="178"/>
      <c r="X160" s="178"/>
      <c r="Y160" s="178"/>
      <c r="Z160" s="178"/>
      <c r="AA160" s="178"/>
      <c r="AB160" s="178"/>
      <c r="AC160" s="178"/>
      <c r="AD160" s="178"/>
      <c r="AE160" s="178"/>
      <c r="AF160" s="178"/>
      <c r="AG160" s="178"/>
      <c r="AH160" s="178"/>
      <c r="AI160" s="178"/>
      <c r="AJ160" s="178"/>
      <c r="AK160" s="178"/>
      <c r="AL160" s="178"/>
      <c r="AM160" s="178"/>
      <c r="AN160" s="178"/>
      <c r="AO160" s="178"/>
      <c r="AP160" s="178"/>
      <c r="AQ160" s="178"/>
      <c r="AR160" s="178"/>
      <c r="AS160" s="178"/>
      <c r="AT160" s="178"/>
      <c r="AU160" s="178"/>
      <c r="AV160" s="178"/>
      <c r="AW160" s="178"/>
      <c r="AX160" s="178"/>
      <c r="AY160" s="178"/>
      <c r="AZ160" s="178"/>
      <c r="BA160" s="178"/>
      <c r="BB160" s="178"/>
      <c r="BC160" s="178"/>
      <c r="BD160" s="178"/>
      <c r="BE160" s="178"/>
      <c r="BF160" s="178"/>
      <c r="BG160" s="178"/>
      <c r="BH160" s="178"/>
      <c r="BI160" s="178"/>
      <c r="BJ160" s="178"/>
      <c r="BK160" s="178"/>
      <c r="BL160" s="178"/>
      <c r="BM160" s="178"/>
      <c r="BN160" s="178"/>
      <c r="BO160" s="178"/>
    </row>
    <row r="161" spans="1:67" s="8" customFormat="1" ht="15" customHeight="1">
      <c r="A161" s="178"/>
      <c r="B161" s="178"/>
      <c r="C161" s="178"/>
      <c r="D161" s="178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  <c r="R161" s="178"/>
      <c r="S161" s="178"/>
      <c r="T161" s="178"/>
      <c r="U161" s="178"/>
      <c r="V161" s="178"/>
      <c r="W161" s="178"/>
      <c r="X161" s="178"/>
      <c r="Y161" s="178"/>
      <c r="Z161" s="178"/>
      <c r="AA161" s="178"/>
      <c r="AB161" s="178"/>
      <c r="AC161" s="178"/>
      <c r="AD161" s="178"/>
      <c r="AE161" s="178"/>
      <c r="AF161" s="178"/>
      <c r="AG161" s="178"/>
      <c r="AH161" s="178"/>
      <c r="AI161" s="178"/>
      <c r="AJ161" s="178"/>
      <c r="AK161" s="178"/>
      <c r="AL161" s="178"/>
      <c r="AM161" s="178"/>
      <c r="AN161" s="178"/>
      <c r="AO161" s="178"/>
      <c r="AP161" s="178"/>
      <c r="AQ161" s="178"/>
      <c r="AR161" s="178"/>
      <c r="AS161" s="178"/>
      <c r="AT161" s="178"/>
      <c r="AU161" s="178"/>
      <c r="AV161" s="178"/>
      <c r="AW161" s="178"/>
      <c r="AX161" s="178"/>
      <c r="AY161" s="178"/>
      <c r="AZ161" s="178"/>
      <c r="BA161" s="178"/>
      <c r="BB161" s="178"/>
      <c r="BC161" s="178"/>
      <c r="BD161" s="178"/>
      <c r="BE161" s="178"/>
      <c r="BF161" s="178"/>
      <c r="BG161" s="178"/>
      <c r="BH161" s="178"/>
      <c r="BI161" s="178"/>
      <c r="BJ161" s="178"/>
      <c r="BK161" s="178"/>
      <c r="BL161" s="178"/>
      <c r="BM161" s="178"/>
      <c r="BN161" s="178"/>
      <c r="BO161" s="178"/>
    </row>
    <row r="162" spans="1:67" s="8" customFormat="1" ht="15" customHeight="1">
      <c r="A162" s="178"/>
      <c r="B162" s="178"/>
      <c r="C162" s="178"/>
      <c r="D162" s="178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  <c r="R162" s="178"/>
      <c r="S162" s="178"/>
      <c r="T162" s="178"/>
      <c r="U162" s="178"/>
      <c r="V162" s="178"/>
      <c r="W162" s="178"/>
      <c r="X162" s="178"/>
      <c r="Y162" s="178"/>
      <c r="Z162" s="178"/>
      <c r="AA162" s="178"/>
      <c r="AB162" s="178"/>
      <c r="AC162" s="178"/>
      <c r="AD162" s="178"/>
      <c r="AE162" s="178"/>
      <c r="AF162" s="178"/>
      <c r="AG162" s="178"/>
      <c r="AH162" s="178"/>
      <c r="AI162" s="178"/>
      <c r="AJ162" s="178"/>
      <c r="AK162" s="178"/>
      <c r="AL162" s="178"/>
      <c r="AM162" s="178"/>
      <c r="AN162" s="178"/>
      <c r="AO162" s="178"/>
      <c r="AP162" s="178"/>
      <c r="AQ162" s="178"/>
      <c r="AR162" s="178"/>
      <c r="AS162" s="178"/>
      <c r="AT162" s="178"/>
      <c r="AU162" s="178"/>
      <c r="AV162" s="178"/>
      <c r="AW162" s="178"/>
      <c r="AX162" s="178"/>
      <c r="AY162" s="178"/>
      <c r="AZ162" s="178"/>
      <c r="BA162" s="178"/>
      <c r="BB162" s="178"/>
      <c r="BC162" s="178"/>
      <c r="BD162" s="178"/>
      <c r="BE162" s="178"/>
      <c r="BF162" s="178"/>
      <c r="BG162" s="178"/>
      <c r="BH162" s="178"/>
      <c r="BI162" s="178"/>
      <c r="BJ162" s="178"/>
      <c r="BK162" s="178"/>
      <c r="BL162" s="178"/>
      <c r="BM162" s="178"/>
      <c r="BN162" s="178"/>
      <c r="BO162" s="178"/>
    </row>
    <row r="163" spans="1:67" s="8" customFormat="1" ht="15" customHeight="1">
      <c r="A163" s="178"/>
      <c r="B163" s="178"/>
      <c r="C163" s="178"/>
      <c r="D163" s="178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  <c r="R163" s="178"/>
      <c r="S163" s="178"/>
      <c r="T163" s="178"/>
      <c r="U163" s="178"/>
      <c r="V163" s="178"/>
      <c r="W163" s="178"/>
      <c r="X163" s="178"/>
      <c r="Y163" s="178"/>
      <c r="Z163" s="178"/>
      <c r="AA163" s="178"/>
      <c r="AB163" s="178"/>
      <c r="AC163" s="178"/>
      <c r="AD163" s="178"/>
      <c r="AE163" s="178"/>
      <c r="AF163" s="178"/>
      <c r="AG163" s="178"/>
      <c r="AH163" s="178"/>
      <c r="AI163" s="178"/>
      <c r="AJ163" s="178"/>
      <c r="AK163" s="178"/>
      <c r="AL163" s="178"/>
      <c r="AM163" s="178"/>
      <c r="AN163" s="178"/>
      <c r="AO163" s="178"/>
      <c r="AP163" s="178"/>
      <c r="AQ163" s="178"/>
      <c r="AR163" s="178"/>
      <c r="AS163" s="178"/>
      <c r="AT163" s="178"/>
      <c r="AU163" s="178"/>
      <c r="AV163" s="178"/>
      <c r="AW163" s="178"/>
      <c r="AX163" s="178"/>
      <c r="AY163" s="178"/>
      <c r="AZ163" s="178"/>
      <c r="BA163" s="178"/>
      <c r="BB163" s="178"/>
      <c r="BC163" s="178"/>
      <c r="BD163" s="178"/>
      <c r="BE163" s="178"/>
      <c r="BF163" s="178"/>
      <c r="BG163" s="178"/>
      <c r="BH163" s="178"/>
      <c r="BI163" s="178"/>
      <c r="BJ163" s="178"/>
      <c r="BK163" s="178"/>
      <c r="BL163" s="178"/>
      <c r="BM163" s="178"/>
      <c r="BN163" s="178"/>
      <c r="BO163" s="178"/>
    </row>
    <row r="164" spans="1:67" s="8" customFormat="1" ht="15" customHeight="1">
      <c r="A164" s="178"/>
      <c r="B164" s="178"/>
      <c r="C164" s="178"/>
      <c r="D164" s="178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  <c r="R164" s="178"/>
      <c r="S164" s="178"/>
      <c r="T164" s="178"/>
      <c r="U164" s="178"/>
      <c r="V164" s="178"/>
      <c r="W164" s="178"/>
      <c r="X164" s="178"/>
      <c r="Y164" s="178"/>
      <c r="Z164" s="178"/>
      <c r="AA164" s="178"/>
      <c r="AB164" s="178"/>
      <c r="AC164" s="178"/>
      <c r="AD164" s="178"/>
      <c r="AE164" s="178"/>
      <c r="AF164" s="178"/>
      <c r="AG164" s="178"/>
      <c r="AH164" s="178"/>
      <c r="AI164" s="178"/>
      <c r="AJ164" s="178"/>
      <c r="AK164" s="178"/>
      <c r="AL164" s="178"/>
      <c r="AM164" s="178"/>
      <c r="AN164" s="178"/>
      <c r="AO164" s="178"/>
      <c r="AP164" s="178"/>
      <c r="AQ164" s="178"/>
      <c r="AR164" s="178"/>
      <c r="AS164" s="178"/>
      <c r="AT164" s="178"/>
      <c r="AU164" s="178"/>
      <c r="AV164" s="178"/>
      <c r="AW164" s="178"/>
      <c r="AX164" s="178"/>
      <c r="AY164" s="178"/>
      <c r="AZ164" s="178"/>
      <c r="BA164" s="178"/>
      <c r="BB164" s="178"/>
      <c r="BC164" s="178"/>
      <c r="BD164" s="178"/>
      <c r="BE164" s="178"/>
      <c r="BF164" s="178"/>
      <c r="BG164" s="178"/>
      <c r="BH164" s="178"/>
      <c r="BI164" s="178"/>
      <c r="BJ164" s="178"/>
      <c r="BK164" s="178"/>
      <c r="BL164" s="178"/>
      <c r="BM164" s="178"/>
      <c r="BN164" s="178"/>
      <c r="BO164" s="178"/>
    </row>
    <row r="165" spans="1:67" s="8" customFormat="1" ht="15" customHeight="1">
      <c r="A165" s="178"/>
      <c r="B165" s="178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78"/>
      <c r="BI165" s="178"/>
      <c r="BJ165" s="178"/>
      <c r="BK165" s="178"/>
      <c r="BL165" s="178"/>
      <c r="BM165" s="178"/>
      <c r="BN165" s="178"/>
      <c r="BO165" s="178"/>
    </row>
    <row r="166" spans="1:67" s="8" customFormat="1" ht="15" customHeight="1">
      <c r="A166" s="178"/>
      <c r="B166" s="178"/>
      <c r="C166" s="178"/>
      <c r="D166" s="178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  <c r="R166" s="178"/>
      <c r="S166" s="178"/>
      <c r="T166" s="178"/>
      <c r="U166" s="178"/>
      <c r="V166" s="178"/>
      <c r="W166" s="178"/>
      <c r="X166" s="178"/>
      <c r="Y166" s="178"/>
      <c r="Z166" s="178"/>
      <c r="AA166" s="178"/>
      <c r="AB166" s="178"/>
      <c r="AC166" s="178"/>
      <c r="AD166" s="178"/>
      <c r="AE166" s="178"/>
      <c r="AF166" s="178"/>
      <c r="AG166" s="178"/>
      <c r="AH166" s="178"/>
      <c r="AI166" s="178"/>
      <c r="AJ166" s="178"/>
      <c r="AK166" s="178"/>
      <c r="AL166" s="178"/>
      <c r="AM166" s="178"/>
      <c r="AN166" s="178"/>
      <c r="AO166" s="178"/>
      <c r="AP166" s="178"/>
      <c r="AQ166" s="178"/>
      <c r="AR166" s="178"/>
      <c r="AS166" s="178"/>
      <c r="AT166" s="178"/>
      <c r="AU166" s="178"/>
      <c r="AV166" s="178"/>
      <c r="AW166" s="178"/>
      <c r="AX166" s="178"/>
      <c r="AY166" s="178"/>
      <c r="AZ166" s="178"/>
      <c r="BA166" s="178"/>
      <c r="BB166" s="178"/>
      <c r="BC166" s="178"/>
      <c r="BD166" s="178"/>
      <c r="BE166" s="178"/>
      <c r="BF166" s="178"/>
      <c r="BG166" s="178"/>
      <c r="BH166" s="178"/>
      <c r="BI166" s="178"/>
      <c r="BJ166" s="178"/>
      <c r="BK166" s="178"/>
      <c r="BL166" s="178"/>
      <c r="BM166" s="178"/>
      <c r="BN166" s="178"/>
      <c r="BO166" s="178"/>
    </row>
    <row r="167" spans="1:67" s="8" customFormat="1" ht="15" customHeight="1">
      <c r="A167" s="178"/>
      <c r="B167" s="178"/>
      <c r="C167" s="178"/>
      <c r="D167" s="178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  <c r="R167" s="178"/>
      <c r="S167" s="178"/>
      <c r="T167" s="178"/>
      <c r="U167" s="178"/>
      <c r="V167" s="178"/>
      <c r="W167" s="178"/>
      <c r="X167" s="178"/>
      <c r="Y167" s="178"/>
      <c r="Z167" s="178"/>
      <c r="AA167" s="178"/>
      <c r="AB167" s="178"/>
      <c r="AC167" s="178"/>
      <c r="AD167" s="178"/>
      <c r="AE167" s="178"/>
      <c r="AF167" s="178"/>
      <c r="AG167" s="178"/>
      <c r="AH167" s="178"/>
      <c r="AI167" s="178"/>
      <c r="AJ167" s="178"/>
      <c r="AK167" s="178"/>
      <c r="AL167" s="178"/>
      <c r="AM167" s="178"/>
      <c r="AN167" s="178"/>
      <c r="AO167" s="178"/>
      <c r="AP167" s="178"/>
      <c r="AQ167" s="178"/>
      <c r="AR167" s="178"/>
      <c r="AS167" s="178"/>
      <c r="AT167" s="178"/>
      <c r="AU167" s="178"/>
      <c r="AV167" s="178"/>
      <c r="AW167" s="178"/>
      <c r="AX167" s="178"/>
      <c r="AY167" s="178"/>
      <c r="AZ167" s="178"/>
      <c r="BA167" s="178"/>
      <c r="BB167" s="178"/>
      <c r="BC167" s="178"/>
      <c r="BD167" s="178"/>
      <c r="BE167" s="178"/>
      <c r="BF167" s="178"/>
      <c r="BG167" s="178"/>
      <c r="BH167" s="178"/>
      <c r="BI167" s="178"/>
      <c r="BJ167" s="178"/>
      <c r="BK167" s="178"/>
      <c r="BL167" s="178"/>
      <c r="BM167" s="178"/>
      <c r="BN167" s="178"/>
      <c r="BO167" s="178"/>
    </row>
    <row r="168" spans="1:67" s="8" customFormat="1" ht="15" customHeight="1">
      <c r="A168" s="178"/>
      <c r="B168" s="178"/>
      <c r="C168" s="178"/>
      <c r="D168" s="178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  <c r="R168" s="178"/>
      <c r="S168" s="178"/>
      <c r="T168" s="178"/>
      <c r="U168" s="178"/>
      <c r="V168" s="178"/>
      <c r="W168" s="178"/>
      <c r="X168" s="178"/>
      <c r="Y168" s="178"/>
      <c r="Z168" s="178"/>
      <c r="AA168" s="178"/>
      <c r="AB168" s="178"/>
      <c r="AC168" s="178"/>
      <c r="AD168" s="178"/>
      <c r="AE168" s="178"/>
      <c r="AF168" s="178"/>
      <c r="AG168" s="178"/>
      <c r="AH168" s="178"/>
      <c r="AI168" s="178"/>
      <c r="AJ168" s="178"/>
      <c r="AK168" s="178"/>
      <c r="AL168" s="178"/>
      <c r="AM168" s="178"/>
      <c r="AN168" s="178"/>
      <c r="AO168" s="178"/>
      <c r="AP168" s="178"/>
      <c r="AQ168" s="178"/>
      <c r="AR168" s="178"/>
      <c r="AS168" s="178"/>
      <c r="AT168" s="178"/>
      <c r="AU168" s="178"/>
      <c r="AV168" s="178"/>
      <c r="AW168" s="178"/>
      <c r="AX168" s="178"/>
      <c r="AY168" s="178"/>
      <c r="AZ168" s="178"/>
      <c r="BA168" s="178"/>
      <c r="BB168" s="178"/>
      <c r="BC168" s="178"/>
      <c r="BD168" s="178"/>
      <c r="BE168" s="178"/>
      <c r="BF168" s="178"/>
      <c r="BG168" s="178"/>
      <c r="BH168" s="178"/>
      <c r="BI168" s="178"/>
      <c r="BJ168" s="178"/>
      <c r="BK168" s="178"/>
      <c r="BL168" s="178"/>
      <c r="BM168" s="178"/>
      <c r="BN168" s="178"/>
      <c r="BO168" s="178"/>
    </row>
    <row r="169" spans="1:67" s="8" customFormat="1" ht="15" customHeight="1">
      <c r="A169" s="178"/>
      <c r="B169" s="178"/>
      <c r="C169" s="178"/>
      <c r="D169" s="178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  <c r="R169" s="178"/>
      <c r="S169" s="178"/>
      <c r="T169" s="178"/>
      <c r="U169" s="178"/>
      <c r="V169" s="178"/>
      <c r="W169" s="178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178"/>
      <c r="AH169" s="178"/>
      <c r="AI169" s="178"/>
      <c r="AJ169" s="178"/>
      <c r="AK169" s="178"/>
      <c r="AL169" s="178"/>
      <c r="AM169" s="178"/>
      <c r="AN169" s="178"/>
      <c r="AO169" s="178"/>
      <c r="AP169" s="178"/>
      <c r="AQ169" s="178"/>
      <c r="AR169" s="178"/>
      <c r="AS169" s="178"/>
      <c r="AT169" s="178"/>
      <c r="AU169" s="178"/>
      <c r="AV169" s="178"/>
      <c r="AW169" s="178"/>
      <c r="AX169" s="178"/>
      <c r="AY169" s="178"/>
      <c r="AZ169" s="178"/>
      <c r="BA169" s="178"/>
      <c r="BB169" s="178"/>
      <c r="BC169" s="178"/>
      <c r="BD169" s="178"/>
      <c r="BE169" s="178"/>
      <c r="BF169" s="178"/>
      <c r="BG169" s="178"/>
      <c r="BH169" s="178"/>
      <c r="BI169" s="178"/>
      <c r="BJ169" s="178"/>
      <c r="BK169" s="178"/>
      <c r="BL169" s="178"/>
      <c r="BM169" s="178"/>
      <c r="BN169" s="178"/>
      <c r="BO169" s="178"/>
    </row>
    <row r="170" spans="1:67" s="8" customFormat="1" ht="15" customHeight="1">
      <c r="A170" s="178"/>
      <c r="B170" s="178"/>
      <c r="C170" s="178"/>
      <c r="D170" s="178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  <c r="R170" s="178"/>
      <c r="S170" s="178"/>
      <c r="T170" s="178"/>
      <c r="U170" s="178"/>
      <c r="V170" s="178"/>
      <c r="W170" s="178"/>
      <c r="X170" s="178"/>
      <c r="Y170" s="178"/>
      <c r="Z170" s="178"/>
      <c r="AA170" s="178"/>
      <c r="AB170" s="178"/>
      <c r="AC170" s="178"/>
      <c r="AD170" s="178"/>
      <c r="AE170" s="178"/>
      <c r="AF170" s="178"/>
      <c r="AG170" s="178"/>
      <c r="AH170" s="178"/>
      <c r="AI170" s="178"/>
      <c r="AJ170" s="178"/>
      <c r="AK170" s="178"/>
      <c r="AL170" s="178"/>
      <c r="AM170" s="178"/>
      <c r="AN170" s="178"/>
      <c r="AO170" s="178"/>
      <c r="AP170" s="178"/>
      <c r="AQ170" s="178"/>
      <c r="AR170" s="178"/>
      <c r="AS170" s="178"/>
      <c r="AT170" s="178"/>
      <c r="AU170" s="178"/>
      <c r="AV170" s="178"/>
      <c r="AW170" s="178"/>
      <c r="AX170" s="178"/>
      <c r="AY170" s="178"/>
      <c r="AZ170" s="178"/>
      <c r="BA170" s="178"/>
      <c r="BB170" s="178"/>
      <c r="BC170" s="178"/>
      <c r="BD170" s="178"/>
      <c r="BE170" s="178"/>
      <c r="BF170" s="178"/>
      <c r="BG170" s="178"/>
      <c r="BH170" s="178"/>
      <c r="BI170" s="178"/>
      <c r="BJ170" s="178"/>
      <c r="BK170" s="178"/>
      <c r="BL170" s="178"/>
      <c r="BM170" s="178"/>
      <c r="BN170" s="178"/>
      <c r="BO170" s="178"/>
    </row>
    <row r="171" spans="1:67" s="8" customFormat="1" ht="15" customHeight="1">
      <c r="A171" s="178"/>
      <c r="B171" s="178"/>
      <c r="C171" s="178"/>
      <c r="D171" s="178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  <c r="R171" s="178"/>
      <c r="S171" s="178"/>
      <c r="T171" s="178"/>
      <c r="U171" s="178"/>
      <c r="V171" s="178"/>
      <c r="W171" s="178"/>
      <c r="X171" s="178"/>
      <c r="Y171" s="178"/>
      <c r="Z171" s="178"/>
      <c r="AA171" s="178"/>
      <c r="AB171" s="178"/>
      <c r="AC171" s="178"/>
      <c r="AD171" s="178"/>
      <c r="AE171" s="178"/>
      <c r="AF171" s="178"/>
      <c r="AG171" s="178"/>
      <c r="AH171" s="178"/>
      <c r="AI171" s="178"/>
      <c r="AJ171" s="178"/>
      <c r="AK171" s="178"/>
      <c r="AL171" s="178"/>
      <c r="AM171" s="178"/>
      <c r="AN171" s="178"/>
      <c r="AO171" s="178"/>
      <c r="AP171" s="178"/>
      <c r="AQ171" s="178"/>
      <c r="AR171" s="178"/>
      <c r="AS171" s="178"/>
      <c r="AT171" s="178"/>
      <c r="AU171" s="178"/>
      <c r="AV171" s="178"/>
      <c r="AW171" s="178"/>
      <c r="AX171" s="178"/>
      <c r="AY171" s="178"/>
      <c r="AZ171" s="178"/>
      <c r="BA171" s="178"/>
      <c r="BB171" s="178"/>
      <c r="BC171" s="178"/>
      <c r="BD171" s="178"/>
      <c r="BE171" s="178"/>
      <c r="BF171" s="178"/>
      <c r="BG171" s="178"/>
      <c r="BH171" s="178"/>
      <c r="BI171" s="178"/>
      <c r="BJ171" s="178"/>
      <c r="BK171" s="178"/>
      <c r="BL171" s="178"/>
      <c r="BM171" s="178"/>
      <c r="BN171" s="178"/>
      <c r="BO171" s="178"/>
    </row>
    <row r="172" spans="1:67" s="8" customFormat="1" ht="15" customHeight="1">
      <c r="A172" s="178"/>
      <c r="B172" s="178"/>
      <c r="C172" s="178"/>
      <c r="D172" s="178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X172" s="178"/>
      <c r="Y172" s="178"/>
      <c r="Z172" s="178"/>
      <c r="AA172" s="178"/>
      <c r="AB172" s="178"/>
      <c r="AC172" s="178"/>
      <c r="AD172" s="178"/>
      <c r="AE172" s="178"/>
      <c r="AF172" s="178"/>
      <c r="AG172" s="178"/>
      <c r="AH172" s="178"/>
      <c r="AI172" s="178"/>
      <c r="AJ172" s="178"/>
      <c r="AK172" s="178"/>
      <c r="AL172" s="178"/>
      <c r="AM172" s="178"/>
      <c r="AN172" s="178"/>
      <c r="AO172" s="178"/>
      <c r="AP172" s="178"/>
      <c r="AQ172" s="178"/>
      <c r="AR172" s="178"/>
      <c r="AS172" s="178"/>
      <c r="AT172" s="178"/>
      <c r="AU172" s="178"/>
      <c r="AV172" s="178"/>
      <c r="AW172" s="178"/>
      <c r="AX172" s="178"/>
      <c r="AY172" s="178"/>
      <c r="AZ172" s="178"/>
      <c r="BA172" s="178"/>
      <c r="BB172" s="178"/>
      <c r="BC172" s="178"/>
      <c r="BD172" s="178"/>
      <c r="BE172" s="178"/>
      <c r="BF172" s="178"/>
      <c r="BG172" s="178"/>
      <c r="BH172" s="178"/>
      <c r="BI172" s="178"/>
      <c r="BJ172" s="178"/>
      <c r="BK172" s="178"/>
      <c r="BL172" s="178"/>
      <c r="BM172" s="178"/>
      <c r="BN172" s="178"/>
      <c r="BO172" s="178"/>
    </row>
    <row r="173" spans="1:67" s="8" customFormat="1" ht="15" customHeight="1">
      <c r="A173" s="178"/>
      <c r="B173" s="178"/>
      <c r="C173" s="178"/>
      <c r="D173" s="178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  <c r="R173" s="178"/>
      <c r="S173" s="178"/>
      <c r="T173" s="178"/>
      <c r="U173" s="178"/>
      <c r="V173" s="178"/>
      <c r="W173" s="178"/>
      <c r="X173" s="178"/>
      <c r="Y173" s="178"/>
      <c r="Z173" s="178"/>
      <c r="AA173" s="178"/>
      <c r="AB173" s="178"/>
      <c r="AC173" s="178"/>
      <c r="AD173" s="178"/>
      <c r="AE173" s="178"/>
      <c r="AF173" s="178"/>
      <c r="AG173" s="178"/>
      <c r="AH173" s="178"/>
      <c r="AI173" s="178"/>
      <c r="AJ173" s="178"/>
      <c r="AK173" s="178"/>
      <c r="AL173" s="178"/>
      <c r="AM173" s="178"/>
      <c r="AN173" s="178"/>
      <c r="AO173" s="178"/>
      <c r="AP173" s="178"/>
      <c r="AQ173" s="178"/>
      <c r="AR173" s="178"/>
      <c r="AS173" s="178"/>
      <c r="AT173" s="178"/>
      <c r="AU173" s="178"/>
      <c r="AV173" s="178"/>
      <c r="AW173" s="178"/>
      <c r="AX173" s="178"/>
      <c r="AY173" s="178"/>
      <c r="AZ173" s="178"/>
      <c r="BA173" s="178"/>
      <c r="BB173" s="178"/>
      <c r="BC173" s="178"/>
      <c r="BD173" s="178"/>
      <c r="BE173" s="178"/>
      <c r="BF173" s="178"/>
      <c r="BG173" s="178"/>
      <c r="BH173" s="178"/>
      <c r="BI173" s="178"/>
      <c r="BJ173" s="178"/>
      <c r="BK173" s="178"/>
      <c r="BL173" s="178"/>
      <c r="BM173" s="178"/>
      <c r="BN173" s="178"/>
      <c r="BO173" s="178"/>
    </row>
    <row r="174" spans="1:67" s="8" customFormat="1" ht="15" customHeight="1">
      <c r="A174" s="179"/>
    </row>
    <row r="175" spans="1:67" s="8" customFormat="1" ht="15" customHeight="1">
      <c r="A175" s="179"/>
    </row>
    <row r="176" spans="1:67" s="8" customFormat="1" ht="15" customHeight="1">
      <c r="A176" s="179"/>
    </row>
    <row r="177" spans="1:1" s="8" customFormat="1" ht="15" customHeight="1">
      <c r="A177" s="179"/>
    </row>
    <row r="178" spans="1:1" s="8" customFormat="1" ht="15" customHeight="1">
      <c r="A178" s="179"/>
    </row>
    <row r="179" spans="1:1" s="8" customFormat="1" ht="15" customHeight="1">
      <c r="A179" s="179"/>
    </row>
    <row r="180" spans="1:1" s="8" customFormat="1" ht="15" customHeight="1">
      <c r="A180" s="179"/>
    </row>
    <row r="181" spans="1:1" s="8" customFormat="1" ht="15" customHeight="1">
      <c r="A181" s="179"/>
    </row>
    <row r="182" spans="1:1" s="8" customFormat="1" ht="15" customHeight="1">
      <c r="A182" s="179"/>
    </row>
    <row r="183" spans="1:1" s="8" customFormat="1" ht="15" customHeight="1">
      <c r="A183" s="179"/>
    </row>
    <row r="184" spans="1:1" s="8" customFormat="1" ht="15" customHeight="1">
      <c r="A184" s="179"/>
    </row>
    <row r="185" spans="1:1" s="8" customFormat="1" ht="15" customHeight="1">
      <c r="A185" s="179"/>
    </row>
    <row r="186" spans="1:1" s="8" customFormat="1" ht="15" customHeight="1">
      <c r="A186" s="179"/>
    </row>
    <row r="187" spans="1:1" s="8" customFormat="1" ht="15" customHeight="1">
      <c r="A187" s="179"/>
    </row>
    <row r="188" spans="1:1" s="8" customFormat="1" ht="15" customHeight="1">
      <c r="A188" s="179"/>
    </row>
    <row r="189" spans="1:1" s="8" customFormat="1" ht="15" customHeight="1">
      <c r="A189" s="179"/>
    </row>
    <row r="190" spans="1:1" s="8" customFormat="1" ht="15" customHeight="1">
      <c r="A190" s="179"/>
    </row>
    <row r="191" spans="1:1" s="8" customFormat="1" ht="15" customHeight="1">
      <c r="A191" s="179"/>
    </row>
    <row r="192" spans="1:1" s="8" customFormat="1" ht="15" customHeight="1">
      <c r="A192" s="179"/>
    </row>
    <row r="193" spans="1:1" s="8" customFormat="1" ht="15" customHeight="1">
      <c r="A193" s="179"/>
    </row>
    <row r="194" spans="1:1" s="8" customFormat="1" ht="15" customHeight="1">
      <c r="A194" s="179"/>
    </row>
    <row r="195" spans="1:1" s="8" customFormat="1" ht="15" customHeight="1">
      <c r="A195" s="179"/>
    </row>
    <row r="196" spans="1:1" s="8" customFormat="1" ht="15" customHeight="1">
      <c r="A196" s="179"/>
    </row>
    <row r="197" spans="1:1" s="8" customFormat="1" ht="15" customHeight="1">
      <c r="A197" s="179"/>
    </row>
    <row r="198" spans="1:1" s="8" customFormat="1" ht="15" customHeight="1">
      <c r="A198" s="179"/>
    </row>
    <row r="199" spans="1:1" s="8" customFormat="1" ht="15" customHeight="1">
      <c r="A199" s="179"/>
    </row>
    <row r="200" spans="1:1" s="8" customFormat="1" ht="15" customHeight="1">
      <c r="A200" s="179"/>
    </row>
    <row r="201" spans="1:1" s="8" customFormat="1" ht="15" customHeight="1">
      <c r="A201" s="179"/>
    </row>
    <row r="202" spans="1:1" s="8" customFormat="1" ht="15" customHeight="1">
      <c r="A202" s="179"/>
    </row>
    <row r="203" spans="1:1" s="8" customFormat="1" ht="15" customHeight="1">
      <c r="A203" s="179"/>
    </row>
    <row r="204" spans="1:1" s="8" customFormat="1" ht="15" customHeight="1">
      <c r="A204" s="179"/>
    </row>
    <row r="205" spans="1:1" s="8" customFormat="1" ht="15" customHeight="1">
      <c r="A205" s="179"/>
    </row>
    <row r="206" spans="1:1" s="8" customFormat="1" ht="15" customHeight="1">
      <c r="A206" s="179"/>
    </row>
    <row r="207" spans="1:1" s="8" customFormat="1" ht="15" customHeight="1">
      <c r="A207" s="179"/>
    </row>
    <row r="208" spans="1:1" s="8" customFormat="1" ht="15" customHeight="1">
      <c r="A208" s="179"/>
    </row>
    <row r="209" spans="1:1" s="8" customFormat="1" ht="15" customHeight="1">
      <c r="A209" s="179"/>
    </row>
    <row r="210" spans="1:1" s="8" customFormat="1" ht="15" customHeight="1">
      <c r="A210" s="179"/>
    </row>
    <row r="211" spans="1:1" s="8" customFormat="1" ht="15" customHeight="1">
      <c r="A211" s="179"/>
    </row>
    <row r="212" spans="1:1" s="8" customFormat="1" ht="15" customHeight="1">
      <c r="A212" s="179"/>
    </row>
    <row r="213" spans="1:1" s="8" customFormat="1" ht="15" customHeight="1">
      <c r="A213" s="179"/>
    </row>
    <row r="214" spans="1:1" s="8" customFormat="1" ht="15" customHeight="1">
      <c r="A214" s="179"/>
    </row>
    <row r="215" spans="1:1" s="8" customFormat="1" ht="15" customHeight="1">
      <c r="A215" s="179"/>
    </row>
    <row r="216" spans="1:1" s="8" customFormat="1" ht="15" customHeight="1">
      <c r="A216" s="179"/>
    </row>
    <row r="217" spans="1:1" s="8" customFormat="1" ht="15" customHeight="1">
      <c r="A217" s="179"/>
    </row>
    <row r="218" spans="1:1" s="8" customFormat="1" ht="15" customHeight="1">
      <c r="A218" s="179"/>
    </row>
    <row r="219" spans="1:1" s="8" customFormat="1" ht="15" customHeight="1">
      <c r="A219" s="179"/>
    </row>
    <row r="220" spans="1:1" s="8" customFormat="1" ht="15" customHeight="1">
      <c r="A220" s="179"/>
    </row>
    <row r="221" spans="1:1" s="8" customFormat="1" ht="15" customHeight="1">
      <c r="A221" s="179"/>
    </row>
    <row r="222" spans="1:1" s="8" customFormat="1" ht="15" customHeight="1">
      <c r="A222" s="179"/>
    </row>
    <row r="223" spans="1:1" s="8" customFormat="1" ht="15" customHeight="1">
      <c r="A223" s="179"/>
    </row>
    <row r="224" spans="1:1" s="8" customFormat="1" ht="15" customHeight="1">
      <c r="A224" s="179"/>
    </row>
    <row r="225" spans="1:1" s="8" customFormat="1" ht="15" customHeight="1">
      <c r="A225" s="179"/>
    </row>
    <row r="226" spans="1:1" s="8" customFormat="1" ht="15" customHeight="1">
      <c r="A226" s="179"/>
    </row>
    <row r="227" spans="1:1" s="8" customFormat="1" ht="15" customHeight="1">
      <c r="A227" s="179"/>
    </row>
    <row r="228" spans="1:1" s="8" customFormat="1" ht="15" customHeight="1">
      <c r="A228" s="179"/>
    </row>
    <row r="229" spans="1:1" s="8" customFormat="1" ht="15" customHeight="1">
      <c r="A229" s="179"/>
    </row>
    <row r="230" spans="1:1" s="8" customFormat="1" ht="15" customHeight="1">
      <c r="A230" s="179"/>
    </row>
    <row r="231" spans="1:1" s="8" customFormat="1" ht="15" customHeight="1">
      <c r="A231" s="179"/>
    </row>
    <row r="232" spans="1:1" s="8" customFormat="1" ht="15" customHeight="1">
      <c r="A232" s="179"/>
    </row>
    <row r="233" spans="1:1" s="8" customFormat="1" ht="15" customHeight="1">
      <c r="A233" s="179"/>
    </row>
    <row r="234" spans="1:1" s="8" customFormat="1" ht="15" customHeight="1">
      <c r="A234" s="179"/>
    </row>
    <row r="235" spans="1:1" s="8" customFormat="1" ht="15" customHeight="1">
      <c r="A235" s="179"/>
    </row>
    <row r="236" spans="1:1" s="8" customFormat="1" ht="15" customHeight="1">
      <c r="A236" s="179"/>
    </row>
    <row r="237" spans="1:1" s="8" customFormat="1" ht="15" customHeight="1">
      <c r="A237" s="179"/>
    </row>
    <row r="238" spans="1:1" s="8" customFormat="1" ht="15" customHeight="1">
      <c r="A238" s="179"/>
    </row>
    <row r="239" spans="1:1" s="8" customFormat="1" ht="15" customHeight="1">
      <c r="A239" s="179"/>
    </row>
    <row r="240" spans="1:1" s="8" customFormat="1" ht="15" customHeight="1">
      <c r="A240" s="179"/>
    </row>
    <row r="241" spans="1:1" s="8" customFormat="1" ht="15" customHeight="1">
      <c r="A241" s="179"/>
    </row>
    <row r="242" spans="1:1" s="8" customFormat="1" ht="15" customHeight="1">
      <c r="A242" s="179"/>
    </row>
    <row r="243" spans="1:1" s="8" customFormat="1" ht="15" customHeight="1">
      <c r="A243" s="179"/>
    </row>
    <row r="244" spans="1:1" s="8" customFormat="1" ht="15" customHeight="1">
      <c r="A244" s="179"/>
    </row>
    <row r="245" spans="1:1" s="8" customFormat="1" ht="15" customHeight="1">
      <c r="A245" s="179"/>
    </row>
    <row r="246" spans="1:1" s="8" customFormat="1" ht="15" customHeight="1">
      <c r="A246" s="179"/>
    </row>
    <row r="247" spans="1:1" s="8" customFormat="1" ht="15" customHeight="1">
      <c r="A247" s="179"/>
    </row>
    <row r="248" spans="1:1" s="8" customFormat="1" ht="15" customHeight="1">
      <c r="A248" s="179"/>
    </row>
    <row r="249" spans="1:1" s="8" customFormat="1" ht="15" customHeight="1">
      <c r="A249" s="179"/>
    </row>
    <row r="250" spans="1:1" s="8" customFormat="1" ht="15" customHeight="1">
      <c r="A250" s="179"/>
    </row>
    <row r="251" spans="1:1" s="8" customFormat="1" ht="15" customHeight="1">
      <c r="A251" s="179"/>
    </row>
    <row r="252" spans="1:1" s="8" customFormat="1" ht="15" customHeight="1">
      <c r="A252" s="179"/>
    </row>
    <row r="253" spans="1:1" s="8" customFormat="1" ht="15" customHeight="1">
      <c r="A253" s="179"/>
    </row>
    <row r="254" spans="1:1" s="8" customFormat="1" ht="15" customHeight="1">
      <c r="A254" s="179"/>
    </row>
    <row r="255" spans="1:1" s="8" customFormat="1" ht="15" customHeight="1">
      <c r="A255" s="179"/>
    </row>
    <row r="256" spans="1:1" s="8" customFormat="1" ht="15" customHeight="1">
      <c r="A256" s="179"/>
    </row>
    <row r="257" spans="1:1" s="8" customFormat="1" ht="15" customHeight="1">
      <c r="A257" s="179"/>
    </row>
    <row r="258" spans="1:1" s="8" customFormat="1" ht="15" customHeight="1">
      <c r="A258" s="179"/>
    </row>
    <row r="259" spans="1:1" s="8" customFormat="1" ht="14.1" customHeight="1">
      <c r="A259" s="179"/>
    </row>
    <row r="260" spans="1:1" s="8" customFormat="1" ht="14.1" customHeight="1">
      <c r="A260" s="179"/>
    </row>
    <row r="261" spans="1:1" s="8" customFormat="1" ht="14.1" customHeight="1">
      <c r="A261" s="179"/>
    </row>
    <row r="262" spans="1:1" s="8" customFormat="1" ht="14.1" customHeight="1">
      <c r="A262" s="179"/>
    </row>
    <row r="263" spans="1:1" s="8" customFormat="1" ht="14.1" customHeight="1">
      <c r="A263" s="179"/>
    </row>
    <row r="264" spans="1:1" s="8" customFormat="1" ht="14.1" customHeight="1">
      <c r="A264" s="179"/>
    </row>
    <row r="265" spans="1:1" s="8" customFormat="1" ht="14.1" customHeight="1">
      <c r="A265" s="179"/>
    </row>
    <row r="266" spans="1:1" s="8" customFormat="1" ht="14.1" customHeight="1">
      <c r="A266" s="179"/>
    </row>
    <row r="267" spans="1:1" s="8" customFormat="1" ht="14.1" customHeight="1">
      <c r="A267" s="179"/>
    </row>
    <row r="268" spans="1:1" s="8" customFormat="1" ht="14.1" customHeight="1">
      <c r="A268" s="179"/>
    </row>
    <row r="269" spans="1:1" s="8" customFormat="1" ht="14.1" customHeight="1">
      <c r="A269" s="179"/>
    </row>
    <row r="270" spans="1:1" s="8" customFormat="1" ht="14.1" customHeight="1">
      <c r="A270" s="179"/>
    </row>
    <row r="271" spans="1:1" s="8" customFormat="1" ht="14.1" customHeight="1">
      <c r="A271" s="179"/>
    </row>
    <row r="272" spans="1:1" s="8" customFormat="1" ht="14.1" customHeight="1">
      <c r="A272" s="179"/>
    </row>
    <row r="273" spans="1:1" s="8" customFormat="1" ht="14.1" customHeight="1">
      <c r="A273" s="179"/>
    </row>
    <row r="274" spans="1:1" s="8" customFormat="1" ht="14.1" customHeight="1">
      <c r="A274" s="179"/>
    </row>
    <row r="275" spans="1:1" s="8" customFormat="1" ht="14.1" customHeight="1">
      <c r="A275" s="179"/>
    </row>
    <row r="276" spans="1:1" s="8" customFormat="1" ht="14.1" customHeight="1">
      <c r="A276" s="179"/>
    </row>
    <row r="277" spans="1:1" s="8" customFormat="1" ht="14.1" customHeight="1">
      <c r="A277" s="179"/>
    </row>
    <row r="278" spans="1:1" s="8" customFormat="1" ht="14.1" customHeight="1">
      <c r="A278" s="179"/>
    </row>
    <row r="279" spans="1:1" s="8" customFormat="1" ht="14.1" customHeight="1">
      <c r="A279" s="179"/>
    </row>
    <row r="280" spans="1:1" s="8" customFormat="1" ht="14.1" customHeight="1">
      <c r="A280" s="179"/>
    </row>
    <row r="281" spans="1:1" s="8" customFormat="1" ht="14.1" customHeight="1">
      <c r="A281" s="179"/>
    </row>
    <row r="282" spans="1:1" s="8" customFormat="1" ht="14.1" customHeight="1">
      <c r="A282" s="179"/>
    </row>
    <row r="283" spans="1:1" s="8" customFormat="1" ht="14.1" customHeight="1">
      <c r="A283" s="179"/>
    </row>
    <row r="284" spans="1:1" s="8" customFormat="1" ht="14.1" customHeight="1">
      <c r="A284" s="179"/>
    </row>
    <row r="285" spans="1:1" s="8" customFormat="1" ht="14.1" customHeight="1">
      <c r="A285" s="179"/>
    </row>
    <row r="286" spans="1:1" s="8" customFormat="1" ht="14.1" customHeight="1">
      <c r="A286" s="179"/>
    </row>
    <row r="287" spans="1:1" s="8" customFormat="1" ht="14.1" customHeight="1">
      <c r="A287" s="179"/>
    </row>
    <row r="288" spans="1:1" s="8" customFormat="1" ht="14.1" customHeight="1">
      <c r="A288" s="179"/>
    </row>
    <row r="289" spans="1:1" s="8" customFormat="1" ht="14.1" customHeight="1">
      <c r="A289" s="179"/>
    </row>
    <row r="290" spans="1:1" s="8" customFormat="1" ht="14.1" customHeight="1">
      <c r="A290" s="179"/>
    </row>
    <row r="291" spans="1:1" s="8" customFormat="1" ht="14.1" customHeight="1">
      <c r="A291" s="179"/>
    </row>
    <row r="292" spans="1:1" s="8" customFormat="1" ht="14.1" customHeight="1">
      <c r="A292" s="179"/>
    </row>
    <row r="293" spans="1:1" s="8" customFormat="1" ht="14.1" customHeight="1">
      <c r="A293" s="179"/>
    </row>
    <row r="294" spans="1:1" s="8" customFormat="1" ht="14.1" customHeight="1">
      <c r="A294" s="179"/>
    </row>
    <row r="295" spans="1:1" s="8" customFormat="1" ht="14.1" customHeight="1">
      <c r="A295" s="179"/>
    </row>
    <row r="296" spans="1:1" s="8" customFormat="1">
      <c r="A296" s="179"/>
    </row>
    <row r="297" spans="1:1" s="8" customFormat="1">
      <c r="A297" s="179"/>
    </row>
    <row r="298" spans="1:1" s="8" customFormat="1">
      <c r="A298" s="179"/>
    </row>
    <row r="299" spans="1:1" s="8" customFormat="1">
      <c r="A299" s="179"/>
    </row>
    <row r="300" spans="1:1" s="8" customFormat="1">
      <c r="A300" s="179"/>
    </row>
    <row r="301" spans="1:1" s="8" customFormat="1">
      <c r="A301" s="179"/>
    </row>
    <row r="302" spans="1:1" s="8" customFormat="1">
      <c r="A302" s="179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M1"/>
  <sheetViews>
    <sheetView tabSelected="1" workbookViewId="0">
      <pane ySplit="1" topLeftCell="A2" activePane="bottomLeft" state="frozen"/>
      <selection pane="bottomLeft" activeCell="M15" sqref="M15"/>
    </sheetView>
  </sheetViews>
  <sheetFormatPr defaultRowHeight="15"/>
  <cols>
    <col min="1" max="1" width="4.140625" bestFit="1" customWidth="1"/>
    <col min="2" max="2" width="34" bestFit="1" customWidth="1"/>
    <col min="3" max="3" width="6.7109375" bestFit="1" customWidth="1"/>
    <col min="4" max="4" width="13.7109375" bestFit="1" customWidth="1"/>
    <col min="5" max="5" width="8.7109375" bestFit="1" customWidth="1"/>
    <col min="6" max="10" width="7.5703125" bestFit="1" customWidth="1"/>
    <col min="11" max="11" width="6.28515625" bestFit="1" customWidth="1"/>
    <col min="12" max="12" width="5.140625" bestFit="1" customWidth="1"/>
    <col min="13" max="13" width="7" bestFit="1" customWidth="1"/>
    <col min="14" max="14" width="7.5703125" style="4" bestFit="1" customWidth="1"/>
    <col min="15" max="15" width="8.140625" style="5" bestFit="1" customWidth="1"/>
    <col min="16" max="18" width="8" style="5" customWidth="1"/>
    <col min="19" max="19" width="7.5703125" bestFit="1" customWidth="1"/>
    <col min="20" max="20" width="6.28515625" bestFit="1" customWidth="1"/>
    <col min="21" max="21" width="5.140625" bestFit="1" customWidth="1"/>
    <col min="22" max="22" width="5.85546875" bestFit="1" customWidth="1"/>
    <col min="23" max="23" width="6.28515625" bestFit="1" customWidth="1"/>
    <col min="24" max="24" width="7.5703125" bestFit="1" customWidth="1"/>
    <col min="25" max="25" width="5.28515625" bestFit="1" customWidth="1"/>
    <col min="26" max="26" width="6" bestFit="1" customWidth="1"/>
    <col min="27" max="27" width="7" bestFit="1" customWidth="1"/>
    <col min="28" max="28" width="9.42578125" bestFit="1" customWidth="1"/>
    <col min="29" max="30" width="6" bestFit="1" customWidth="1"/>
    <col min="31" max="32" width="7" bestFit="1" customWidth="1"/>
    <col min="33" max="33" width="12.7109375" bestFit="1" customWidth="1"/>
    <col min="34" max="34" width="7" bestFit="1" customWidth="1"/>
    <col min="35" max="35" width="7.7109375" bestFit="1" customWidth="1"/>
    <col min="36" max="36" width="8.85546875" bestFit="1" customWidth="1"/>
    <col min="37" max="37" width="7" bestFit="1" customWidth="1"/>
    <col min="38" max="38" width="9.5703125" bestFit="1" customWidth="1"/>
    <col min="39" max="39" width="11.140625" bestFit="1" customWidth="1"/>
  </cols>
  <sheetData>
    <row r="1" spans="1:39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2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</sheetData>
  <pageMargins left="0.70866141732283472" right="0.70866141732283472" top="0.74803149606299213" bottom="0.74803149606299213" header="0.31496062992125984" footer="0.31496062992125984"/>
  <pageSetup paperSize="9" scale="89" orientation="portrait" verticalDpi="0" r:id="rId1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2018-05-02T04:51:57Z</dcterms:modified>
</cp:coreProperties>
</file>