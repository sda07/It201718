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FORM16" sheetId="2" r:id="rId1"/>
    <sheet name="Sheet1" sheetId="1" r:id="rId2"/>
  </sheets>
  <functionGroups/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AD77" i="2"/>
  <c r="K78"/>
  <c r="X35"/>
  <c r="AD89"/>
  <c r="R73"/>
  <c r="X73" s="1"/>
  <c r="R72"/>
  <c r="X72" s="1"/>
  <c r="AD69"/>
  <c r="AD61" s="1"/>
  <c r="X61"/>
  <c r="X45"/>
  <c r="X40"/>
  <c r="L35"/>
  <c r="X30"/>
  <c r="AA21"/>
  <c r="S21"/>
  <c r="B90"/>
  <c r="X36" l="1"/>
  <c r="AD41" s="1"/>
  <c r="AD46" s="1"/>
  <c r="AD73"/>
  <c r="AD75"/>
  <c r="AD78"/>
  <c r="AD79" l="1"/>
  <c r="AD80" s="1"/>
  <c r="AD82" s="1"/>
  <c r="AD84" s="1"/>
  <c r="AJ77"/>
</calcChain>
</file>

<file path=xl/sharedStrings.xml><?xml version="1.0" encoding="utf-8"?>
<sst xmlns="http://schemas.openxmlformats.org/spreadsheetml/2006/main" count="424" uniqueCount="358">
  <si>
    <t>NAME</t>
  </si>
  <si>
    <t>PAN</t>
  </si>
  <si>
    <t>DA</t>
  </si>
  <si>
    <t>HRA</t>
  </si>
  <si>
    <t>TA</t>
  </si>
  <si>
    <t>gross</t>
  </si>
  <si>
    <t>hbi</t>
  </si>
  <si>
    <t>GIS</t>
  </si>
  <si>
    <t>CGHS</t>
  </si>
  <si>
    <t>PTAX</t>
  </si>
  <si>
    <t>ITAX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</si>
  <si>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</si>
  <si>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</si>
  <si>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</si>
  <si>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</si>
  <si>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</si>
  <si>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</si>
  <si>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</si>
  <si>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</si>
  <si>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</si>
  <si>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</si>
  <si>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</si>
  <si>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</si>
  <si>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</si>
  <si>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</si>
  <si>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</si>
  <si>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</si>
  <si>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</si>
  <si>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</si>
  <si>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</si>
  <si>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</si>
  <si>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</si>
  <si>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</si>
  <si>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</si>
  <si>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</si>
  <si>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</si>
  <si>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</si>
  <si>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</si>
  <si>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</si>
  <si>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</si>
  <si>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</si>
  <si>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</si>
  <si>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</si>
  <si>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</si>
  <si>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</si>
  <si>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</si>
  <si>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</si>
  <si>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</si>
  <si>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</si>
  <si>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</si>
  <si>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</si>
  <si>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</si>
  <si>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</si>
  <si>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</si>
  <si>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</si>
  <si>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</si>
  <si>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</si>
  <si>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</si>
  <si>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</si>
  <si>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</si>
  <si>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</si>
  <si>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</si>
  <si>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</si>
  <si>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</si>
  <si>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</si>
  <si>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</si>
  <si>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</si>
  <si>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</si>
  <si>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</si>
  <si>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</si>
  <si>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</si>
  <si>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</si>
  <si>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</si>
  <si>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</si>
  <si>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</si>
  <si>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</si>
  <si>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</si>
  <si>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</si>
  <si>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</si>
  <si>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</si>
  <si>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</si>
  <si>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</si>
  <si>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</si>
  <si>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</si>
  <si>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</si>
  <si>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</si>
  <si>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</si>
  <si>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</si>
  <si>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</si>
  <si>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</si>
  <si>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</si>
  <si>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</si>
  <si>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</si>
  <si>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</si>
  <si>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</si>
  <si>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</si>
  <si>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</si>
  <si>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</si>
  <si>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</si>
  <si>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</si>
  <si>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</si>
  <si>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</si>
  <si>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</si>
  <si>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</si>
  <si>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</si>
  <si>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</si>
  <si>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</si>
  <si>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</si>
  <si>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</si>
  <si>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</si>
  <si>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</si>
  <si>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</si>
  <si>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</si>
  <si>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</si>
  <si>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</si>
  <si>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</si>
  <si>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</si>
  <si>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</si>
  <si>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</si>
  <si>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</si>
  <si>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</si>
  <si>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</si>
  <si>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</si>
  <si>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</si>
  <si>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</si>
  <si>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</si>
  <si>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</si>
  <si>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</si>
  <si>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</si>
  <si>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</si>
  <si>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</si>
  <si>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</si>
  <si>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</si>
  <si>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</si>
  <si>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</si>
  <si>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</si>
  <si>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</si>
  <si>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</si>
  <si>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</si>
  <si>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</si>
  <si>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</si>
  <si>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</si>
  <si>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</si>
  <si>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</si>
  <si>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</si>
  <si>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</si>
  <si>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</si>
  <si>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</si>
  <si>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</si>
  <si>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</si>
  <si>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</si>
  <si>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</si>
  <si>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</si>
  <si>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</si>
  <si>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</si>
  <si>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</si>
  <si>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2018-19</t>
  </si>
  <si>
    <t>SUNNY ROUTH</t>
  </si>
  <si>
    <t>AMITAVA CHAKRABORTY</t>
  </si>
  <si>
    <t>SAYANTA BANERJEE</t>
  </si>
  <si>
    <t>DEBASHISH BRAHMACHARI</t>
  </si>
  <si>
    <t>MANTU MONDAL</t>
  </si>
  <si>
    <t>SUDIPTA NASKAR</t>
  </si>
  <si>
    <t>RAJU ROUTH</t>
  </si>
  <si>
    <t>MATHURA YADAV</t>
  </si>
  <si>
    <t>SOMEN NATH DAS</t>
  </si>
  <si>
    <t>SAMIR DAS</t>
  </si>
  <si>
    <t>SURAJ ROUTH</t>
  </si>
  <si>
    <t>NIMAI CHANDRA HALDER</t>
  </si>
  <si>
    <t>C. YOLMO</t>
  </si>
  <si>
    <t>AWADH KISHORE SHARMA</t>
  </si>
  <si>
    <t>AKASHDEEP CHAKRABORTY</t>
  </si>
  <si>
    <t>DIP CHATTERJEE</t>
  </si>
  <si>
    <t>WRITAM POREL</t>
  </si>
  <si>
    <t>SHUVOJIT BANERJEE</t>
  </si>
  <si>
    <t>BHASKAR SENGUPTA</t>
  </si>
  <si>
    <t>SAJAL ROY</t>
  </si>
  <si>
    <t>NAND KISHOR KUMAR</t>
  </si>
  <si>
    <t>SANTU KUMAR</t>
  </si>
  <si>
    <t>RAJEEV KUMAR SINGH</t>
  </si>
  <si>
    <t>AJIT KUMAR</t>
  </si>
  <si>
    <t>SAMIR KUMAR ROY</t>
  </si>
  <si>
    <t>SANDIP KUMAR ADHIKARY</t>
  </si>
  <si>
    <t>SANDIP ADHIKARI</t>
  </si>
  <si>
    <t>BISWAJIT SARKAR</t>
  </si>
  <si>
    <t>SUBHASISH MONDAL</t>
  </si>
  <si>
    <t>KAJAL DAS</t>
  </si>
  <si>
    <t>PRASANTA GHOSH</t>
  </si>
  <si>
    <t>GOUTAM DUTTA</t>
  </si>
  <si>
    <t>SHYAMALI GIRI</t>
  </si>
  <si>
    <t>ABHIJIT BERA</t>
  </si>
  <si>
    <t>SK. MOFIZUDDIN</t>
  </si>
  <si>
    <t>TANMOY MONDAL</t>
  </si>
  <si>
    <t>DURGA BURNWAL</t>
  </si>
  <si>
    <t>RAJ KUMAR GUPTA</t>
  </si>
  <si>
    <t>PARTHA SARATHI SAHA</t>
  </si>
  <si>
    <t>ABHISHEK DATTA</t>
  </si>
  <si>
    <t>SIDDHARTHA MUKHERJEE</t>
  </si>
  <si>
    <t>ANANYA MUKHERJEE</t>
  </si>
  <si>
    <t>SOUVIK DATTA</t>
  </si>
  <si>
    <t>TANMAY BHATTACHARYA</t>
  </si>
  <si>
    <t>NAVEEN KUMAR BARAK</t>
  </si>
  <si>
    <t>PAULOMI ROY</t>
  </si>
  <si>
    <t>SUMON MAITY</t>
  </si>
  <si>
    <t>AMITAVO SARKAR</t>
  </si>
  <si>
    <t>GAURAV ANAND</t>
  </si>
  <si>
    <t>SUBHADIP MONDAL</t>
  </si>
  <si>
    <t>RAVI KUMAR BAITHA</t>
  </si>
  <si>
    <t>INDRANIL PAL</t>
  </si>
  <si>
    <t>HARENDRA KUMAR</t>
  </si>
  <si>
    <t>SANJEEV KUMAR</t>
  </si>
  <si>
    <t>SANJAY KUMAR</t>
  </si>
  <si>
    <t>AJIT KUMAR YADAV</t>
  </si>
  <si>
    <t>BIMALENDU BIKAS DAS</t>
  </si>
  <si>
    <t>AJAY YADAV</t>
  </si>
  <si>
    <t>SANDIP DUTTA</t>
  </si>
  <si>
    <t>TAPAN SARKAR</t>
  </si>
  <si>
    <t>RAKESH KUMAR RAMAN</t>
  </si>
  <si>
    <t>SANGAM SINGH</t>
  </si>
  <si>
    <t>SAHAUL ISLAM</t>
  </si>
  <si>
    <t>MAHESH SINGH</t>
  </si>
  <si>
    <t>LEMBEMBO AO</t>
  </si>
  <si>
    <t>CHANDAN SINGH</t>
  </si>
  <si>
    <t>ISHITA ROY</t>
  </si>
  <si>
    <t>SAQLAIN HAIDER</t>
  </si>
  <si>
    <t>AMIT KURI</t>
  </si>
  <si>
    <t>RAHIM ALI SARDAR</t>
  </si>
  <si>
    <t>ASIT KUMAR KARATI</t>
  </si>
  <si>
    <t>SUBHAJIT RAY</t>
  </si>
  <si>
    <t>PRADEEP M.</t>
  </si>
  <si>
    <t>WRITTICK CHATTERJEE</t>
  </si>
  <si>
    <t>SAMBIT ROY</t>
  </si>
  <si>
    <t>SUNNY KUMAR</t>
  </si>
  <si>
    <t>ABHISHEK BHATI</t>
  </si>
  <si>
    <t>ABHISHEK KUMAR</t>
  </si>
  <si>
    <t>AMIT KUMAR</t>
  </si>
  <si>
    <t>SONU KUMAR CHOUDHARY</t>
  </si>
  <si>
    <t>SUBHABRATO DAS</t>
  </si>
  <si>
    <t>MRINMOY MUKHERJEE</t>
  </si>
  <si>
    <t>ASHUTOSH KUMAR</t>
  </si>
  <si>
    <t>RITAM RAY</t>
  </si>
  <si>
    <t>ARUNAVA PATRA</t>
  </si>
  <si>
    <t>ANUP KUMAR KESARI</t>
  </si>
  <si>
    <t>ARUN VIKAS</t>
  </si>
  <si>
    <t>PROSENJIT SARKAR</t>
  </si>
  <si>
    <t>NEMAI CHAND BAIDYA</t>
  </si>
  <si>
    <t>PRASENJIT BISWAS</t>
  </si>
  <si>
    <t>L. DHANCHANDRA SINGH</t>
  </si>
  <si>
    <t>RAHUL KUMAR SONI</t>
  </si>
  <si>
    <t>SUNIL KUMAR MAHATO</t>
  </si>
  <si>
    <t xml:space="preserve">BASIC </t>
  </si>
  <si>
    <t>BASIC1</t>
  </si>
  <si>
    <t>SPLPAY</t>
  </si>
  <si>
    <t>QPAY</t>
  </si>
  <si>
    <t>CCA</t>
  </si>
  <si>
    <t>WA</t>
  </si>
  <si>
    <t>GRINSURANC</t>
  </si>
  <si>
    <t>GPFT</t>
  </si>
  <si>
    <t xml:space="preserve">LIC </t>
  </si>
  <si>
    <t>SC</t>
  </si>
  <si>
    <t>BDPPR4866Q</t>
  </si>
  <si>
    <t>AHZPC2134K</t>
  </si>
  <si>
    <t>BLOPB1438H</t>
  </si>
  <si>
    <t>ANGPB3501L</t>
  </si>
  <si>
    <t>BPAPM0701G</t>
  </si>
  <si>
    <t>AJBPN8122B</t>
  </si>
  <si>
    <t>BDMPR1072H</t>
  </si>
  <si>
    <t>AHEPY0129P</t>
  </si>
  <si>
    <t>BEQPD9151Q</t>
  </si>
  <si>
    <t>BGCPD4893H</t>
  </si>
  <si>
    <t>BGPPR8568C</t>
  </si>
  <si>
    <t>AHJPH6176Q</t>
  </si>
  <si>
    <t>ABPPY7625K</t>
  </si>
  <si>
    <t>AURPS6686B</t>
  </si>
  <si>
    <t>AYCPC6088Q</t>
  </si>
  <si>
    <t>AOTPC1789D</t>
  </si>
  <si>
    <t>BBJPP9676C</t>
  </si>
  <si>
    <t>BFXPB1783C</t>
  </si>
  <si>
    <t>EDLPS7148H</t>
  </si>
  <si>
    <t>AHUPR9685H</t>
  </si>
  <si>
    <t>CYEPK9547G</t>
  </si>
  <si>
    <t>DCHPK4224A</t>
  </si>
  <si>
    <t>DKXPS7682J</t>
  </si>
  <si>
    <t>BIKPK7830F</t>
  </si>
  <si>
    <t>BJGPR6920L</t>
  </si>
  <si>
    <t>BBEPA4518F</t>
  </si>
  <si>
    <t>AXPPA8303A</t>
  </si>
  <si>
    <t>CWVPS7646M</t>
  </si>
  <si>
    <t>BMAPM3694R</t>
  </si>
  <si>
    <t>BLJPD3201K</t>
  </si>
  <si>
    <t>AQUPG3988R</t>
  </si>
  <si>
    <t>AYOPD1683J</t>
  </si>
  <si>
    <t>AXFPG1009D</t>
  </si>
  <si>
    <t>AMKPB0773B</t>
  </si>
  <si>
    <t>ENVPS7558K</t>
  </si>
  <si>
    <t>BYNPM2626L</t>
  </si>
  <si>
    <t>BEPPB4904J</t>
  </si>
  <si>
    <t>AMQPG6876L</t>
  </si>
  <si>
    <t>CVRPS4525A</t>
  </si>
  <si>
    <t>BDOPD8568G</t>
  </si>
  <si>
    <t>CGHPM2564G</t>
  </si>
  <si>
    <t>APAPM6007L</t>
  </si>
  <si>
    <t>AYHPD4060C</t>
  </si>
  <si>
    <t>BSVPB3313B</t>
  </si>
  <si>
    <t>AVZPB4441J</t>
  </si>
  <si>
    <t>AMJPR9167N</t>
  </si>
  <si>
    <t>AGUPM8532D</t>
  </si>
  <si>
    <t>CDZPS9225D</t>
  </si>
  <si>
    <t>AMZPA6920C</t>
  </si>
  <si>
    <t>BFIPM3111G</t>
  </si>
  <si>
    <t>BHMPB2611L</t>
  </si>
  <si>
    <t>AJPPP0009E</t>
  </si>
  <si>
    <t>CKLPK4084M</t>
  </si>
  <si>
    <t>CFVPK5572B</t>
  </si>
  <si>
    <t>CIKPK8071K</t>
  </si>
  <si>
    <t>AJQPY8830R</t>
  </si>
  <si>
    <t>ASZPD0370K</t>
  </si>
  <si>
    <t>AKMPY9060A</t>
  </si>
  <si>
    <t>AOGPD1685L</t>
  </si>
  <si>
    <t>EXVPS5540H</t>
  </si>
  <si>
    <t>AZCPR7924B</t>
  </si>
  <si>
    <t>EGTPS0222P</t>
  </si>
  <si>
    <t>ADIPI9125M</t>
  </si>
  <si>
    <t>DDXPS0451N</t>
  </si>
  <si>
    <t>BNVPA1963R</t>
  </si>
  <si>
    <t>EGSPS8057M</t>
  </si>
  <si>
    <t>BOFPR9701B</t>
  </si>
  <si>
    <t>ALOPH1978F</t>
  </si>
  <si>
    <t>CRLPK4536K</t>
  </si>
  <si>
    <t>FBDPS9305F</t>
  </si>
  <si>
    <t>CBAPK6537K</t>
  </si>
  <si>
    <t>BMJPR1870H</t>
  </si>
  <si>
    <t>AWRPM2436R</t>
  </si>
  <si>
    <t>AOMPC4607H</t>
  </si>
  <si>
    <t>ATTPR5881L</t>
  </si>
  <si>
    <t>DYIPK8946Q</t>
  </si>
  <si>
    <t>BUZPB8480P</t>
  </si>
  <si>
    <t>CNQPK4636R</t>
  </si>
  <si>
    <t>DKKPK2024K</t>
  </si>
  <si>
    <t>AYOPC7529G</t>
  </si>
  <si>
    <t>BFVPD1594M</t>
  </si>
  <si>
    <t>BQCPM7242P</t>
  </si>
  <si>
    <t>BXMPK4739C</t>
  </si>
  <si>
    <t>CFPPR4499C</t>
  </si>
  <si>
    <t>CFRPP4629C</t>
  </si>
  <si>
    <t>CARPK7575H</t>
  </si>
  <si>
    <t>AKQPV1308L</t>
  </si>
  <si>
    <t>CUVPS9965B</t>
  </si>
  <si>
    <t>AVOPB4203D</t>
  </si>
  <si>
    <t>BRTPB2647B</t>
  </si>
  <si>
    <t>AELPL6906M</t>
  </si>
  <si>
    <t>HNMPC3735J</t>
  </si>
  <si>
    <t>BNKPM7494Q</t>
  </si>
  <si>
    <t>ROP</t>
  </si>
  <si>
    <t>rent</t>
  </si>
  <si>
    <t>Allowances</t>
  </si>
  <si>
    <t>Amount</t>
  </si>
  <si>
    <t>(Rebate :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</si>
</sst>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  <font>
      <i/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189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7" borderId="0" xfId="1" applyFont="1" applyFill="1" applyBorder="1" applyAlignment="1">
      <alignment vertical="center"/>
    </xf>
    <xf numFmtId="0" fontId="2" fillId="7" borderId="25" xfId="1" applyFont="1" applyFill="1" applyBorder="1" applyAlignment="1" applyProtection="1">
      <alignment vertical="center"/>
      <protection locked="0"/>
    </xf>
    <xf numFmtId="0" fontId="2" fillId="7" borderId="26" xfId="1" applyFont="1" applyFill="1" applyBorder="1" applyAlignment="1" applyProtection="1">
      <alignment vertical="center"/>
      <protection locked="0"/>
    </xf>
    <xf numFmtId="0" fontId="7" fillId="3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3" borderId="0" xfId="1" applyFill="1"/>
    <xf numFmtId="49" fontId="2" fillId="3" borderId="0" xfId="1" applyNumberFormat="1" applyFont="1" applyFill="1" applyAlignment="1">
      <alignment vertical="center"/>
    </xf>
    <xf numFmtId="0" fontId="0" fillId="9" borderId="30" xfId="0" applyFill="1" applyBorder="1"/>
    <xf numFmtId="0" fontId="0" fillId="8" borderId="30" xfId="0" applyFill="1" applyBorder="1"/>
    <xf numFmtId="0" fontId="0" fillId="9" borderId="31" xfId="0" applyFill="1" applyBorder="1"/>
    <xf numFmtId="0" fontId="0" fillId="8" borderId="29" xfId="0" applyFill="1" applyBorder="1"/>
    <xf numFmtId="0" fontId="9" fillId="0" borderId="0" xfId="1" applyFont="1" applyBorder="1" applyAlignment="1">
      <alignment vertical="center"/>
    </xf>
    <xf numFmtId="49" fontId="2" fillId="0" borderId="1" xfId="1" applyNumberFormat="1" applyFont="1" applyBorder="1" applyAlignment="1">
      <alignment vertical="center"/>
    </xf>
    <xf numFmtId="0" fontId="2" fillId="4" borderId="2" xfId="1" applyFont="1" applyFill="1" applyBorder="1" applyAlignment="1" applyProtection="1">
      <alignment vertical="center"/>
      <protection locked="0"/>
    </xf>
    <xf numFmtId="0" fontId="2" fillId="4" borderId="3" xfId="1" applyFont="1" applyFill="1" applyBorder="1" applyAlignment="1" applyProtection="1">
      <alignment vertical="center"/>
      <protection locked="0"/>
    </xf>
    <xf numFmtId="0" fontId="2" fillId="4" borderId="4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vertical="center" wrapText="1"/>
    </xf>
    <xf numFmtId="0" fontId="5" fillId="4" borderId="1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justify" vertical="top"/>
    </xf>
    <xf numFmtId="0" fontId="2" fillId="4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4" borderId="2" xfId="1" applyNumberFormat="1" applyFont="1" applyFill="1" applyBorder="1" applyAlignment="1" applyProtection="1">
      <alignment vertical="center"/>
      <protection locked="0"/>
    </xf>
    <xf numFmtId="49" fontId="2" fillId="4" borderId="3" xfId="1" applyNumberFormat="1" applyFont="1" applyFill="1" applyBorder="1" applyAlignment="1" applyProtection="1">
      <alignment vertical="center"/>
      <protection locked="0"/>
    </xf>
    <xf numFmtId="49" fontId="2" fillId="4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center" vertical="center"/>
    </xf>
    <xf numFmtId="0" fontId="2" fillId="4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4" borderId="7" xfId="1" applyFill="1" applyBorder="1" applyProtection="1">
      <protection locked="0"/>
    </xf>
    <xf numFmtId="0" fontId="2" fillId="4" borderId="0" xfId="1" applyFill="1" applyBorder="1" applyProtection="1">
      <protection locked="0"/>
    </xf>
    <xf numFmtId="0" fontId="2" fillId="0" borderId="0" xfId="1" applyBorder="1"/>
    <xf numFmtId="1" fontId="2" fillId="4" borderId="0" xfId="1" applyNumberFormat="1" applyFill="1" applyBorder="1" applyProtection="1">
      <protection locked="0"/>
    </xf>
    <xf numFmtId="0" fontId="2" fillId="4" borderId="19" xfId="1" applyFill="1" applyBorder="1" applyProtection="1">
      <protection locked="0"/>
    </xf>
    <xf numFmtId="0" fontId="2" fillId="0" borderId="0" xfId="1" applyFont="1" applyBorder="1" applyAlignment="1">
      <alignment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4" borderId="0" xfId="1" applyNumberFormat="1" applyFont="1" applyFill="1" applyBorder="1" applyAlignment="1" applyProtection="1">
      <alignment vertical="center"/>
      <protection locked="0"/>
    </xf>
    <xf numFmtId="1" fontId="2" fillId="4" borderId="19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0" fontId="2" fillId="0" borderId="0" xfId="1" applyFont="1" applyBorder="1" applyAlignment="1">
      <alignment vertical="center" wrapText="1"/>
    </xf>
    <xf numFmtId="1" fontId="2" fillId="4" borderId="21" xfId="1" applyNumberFormat="1" applyFont="1" applyFill="1" applyBorder="1" applyAlignment="1" applyProtection="1">
      <alignment vertical="center"/>
      <protection locked="0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0" fontId="9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center" vertical="center"/>
    </xf>
    <xf numFmtId="0" fontId="2" fillId="4" borderId="23" xfId="1" applyFont="1" applyFill="1" applyBorder="1" applyAlignment="1" applyProtection="1">
      <alignment vertical="center"/>
      <protection locked="0"/>
    </xf>
    <xf numFmtId="0" fontId="2" fillId="4" borderId="24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0" fontId="2" fillId="4" borderId="25" xfId="1" applyFont="1" applyFill="1" applyBorder="1" applyAlignment="1" applyProtection="1">
      <alignment vertical="center"/>
      <protection locked="0"/>
    </xf>
    <xf numFmtId="0" fontId="2" fillId="4" borderId="26" xfId="1" applyFont="1" applyFill="1" applyBorder="1" applyAlignment="1" applyProtection="1">
      <alignment vertical="center"/>
      <protection locked="0"/>
    </xf>
    <xf numFmtId="0" fontId="2" fillId="6" borderId="27" xfId="1" applyFont="1" applyFill="1" applyBorder="1" applyAlignment="1">
      <alignment vertical="center"/>
    </xf>
    <xf numFmtId="0" fontId="2" fillId="6" borderId="28" xfId="1" applyFont="1" applyFill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4" borderId="1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left" vertical="center"/>
    </xf>
    <xf numFmtId="0" fontId="2" fillId="0" borderId="4" xfId="1" applyFont="1" applyBorder="1" applyAlignment="1">
      <alignment horizontal="left" vertical="center"/>
    </xf>
    <xf numFmtId="0" fontId="2" fillId="0" borderId="2" xfId="1" applyFont="1" applyBorder="1" applyAlignment="1">
      <alignment horizontal="right" vertical="center"/>
    </xf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19" xfId="1" applyFont="1" applyBorder="1" applyAlignment="1">
      <alignment vertical="center" wrapText="1"/>
    </xf>
    <xf numFmtId="0" fontId="2" fillId="4" borderId="19" xfId="1" applyFont="1" applyFill="1" applyBorder="1" applyAlignment="1" applyProtection="1">
      <alignment vertical="center"/>
      <protection locked="0"/>
    </xf>
    <xf numFmtId="0" fontId="2" fillId="4" borderId="21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20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1" fontId="2" fillId="4" borderId="1" xfId="1" applyNumberFormat="1" applyFont="1" applyFill="1" applyBorder="1" applyAlignment="1" applyProtection="1">
      <alignment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2" fillId="5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6" fillId="4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4" borderId="16" xfId="1" applyFont="1" applyFill="1" applyBorder="1" applyAlignment="1" applyProtection="1">
      <alignment vertical="center"/>
      <protection locked="0"/>
    </xf>
    <xf numFmtId="0" fontId="6" fillId="4" borderId="17" xfId="1" applyFont="1" applyFill="1" applyBorder="1" applyAlignment="1" applyProtection="1">
      <alignment vertical="center"/>
      <protection locked="0"/>
    </xf>
    <xf numFmtId="164" fontId="6" fillId="4" borderId="2" xfId="1" applyNumberFormat="1" applyFont="1" applyFill="1" applyBorder="1" applyAlignment="1" applyProtection="1">
      <alignment horizontal="center" vertical="center"/>
      <protection locked="0"/>
    </xf>
    <xf numFmtId="164" fontId="6" fillId="4" borderId="3" xfId="1" applyNumberFormat="1" applyFont="1" applyFill="1" applyBorder="1" applyAlignment="1" applyProtection="1">
      <alignment horizontal="center" vertical="center"/>
      <protection locked="0"/>
    </xf>
    <xf numFmtId="164" fontId="6" fillId="4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4" borderId="11" xfId="1" applyFont="1" applyFill="1" applyBorder="1" applyAlignment="1" applyProtection="1">
      <alignment horizontal="center" vertical="center" wrapText="1"/>
      <protection locked="0"/>
    </xf>
    <xf numFmtId="0" fontId="6" fillId="4" borderId="12" xfId="1" applyFont="1" applyFill="1" applyBorder="1" applyAlignment="1" applyProtection="1">
      <alignment horizontal="center" vertical="center" wrapText="1"/>
      <protection locked="0"/>
    </xf>
    <xf numFmtId="0" fontId="6" fillId="4" borderId="13" xfId="1" applyFont="1" applyFill="1" applyBorder="1" applyAlignment="1" applyProtection="1">
      <alignment vertical="center"/>
      <protection locked="0"/>
    </xf>
    <xf numFmtId="0" fontId="6" fillId="4" borderId="14" xfId="1" applyFont="1" applyFill="1" applyBorder="1" applyAlignment="1" applyProtection="1">
      <alignment vertical="center"/>
      <protection locked="0"/>
    </xf>
    <xf numFmtId="0" fontId="6" fillId="4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5" fillId="4" borderId="8" xfId="1" applyFont="1" applyFill="1" applyBorder="1" applyAlignment="1" applyProtection="1">
      <alignment horizontal="left" vertical="center"/>
      <protection locked="0"/>
    </xf>
    <xf numFmtId="0" fontId="5" fillId="4" borderId="9" xfId="1" applyFont="1" applyFill="1" applyBorder="1" applyAlignment="1" applyProtection="1">
      <alignment horizontal="left" vertical="center"/>
      <protection locked="0"/>
    </xf>
    <xf numFmtId="0" fontId="5" fillId="4" borderId="8" xfId="1" applyFont="1" applyFill="1" applyBorder="1" applyAlignment="1" applyProtection="1">
      <alignment horizontal="center" vertical="center"/>
      <protection locked="0"/>
    </xf>
    <xf numFmtId="0" fontId="5" fillId="4" borderId="9" xfId="1" applyFont="1" applyFill="1" applyBorder="1" applyAlignment="1" applyProtection="1">
      <alignment horizontal="center" vertical="center"/>
      <protection locked="0"/>
    </xf>
    <xf numFmtId="0" fontId="5" fillId="4" borderId="10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/>
    </xf>
    <xf numFmtId="0" fontId="5" fillId="4" borderId="2" xfId="1" applyFont="1" applyFill="1" applyBorder="1" applyAlignment="1" applyProtection="1">
      <alignment vertical="center"/>
      <protection locked="0"/>
    </xf>
    <xf numFmtId="0" fontId="5" fillId="4" borderId="3" xfId="1" applyFont="1" applyFill="1" applyBorder="1" applyAlignment="1" applyProtection="1">
      <alignment vertical="center"/>
      <protection locked="0"/>
    </xf>
    <xf numFmtId="0" fontId="5" fillId="4" borderId="2" xfId="1" applyFont="1" applyFill="1" applyBorder="1" applyAlignment="1" applyProtection="1">
      <alignment horizontal="center" vertical="center"/>
      <protection locked="0"/>
    </xf>
    <xf numFmtId="0" fontId="5" fillId="4" borderId="3" xfId="1" applyFont="1" applyFill="1" applyBorder="1" applyAlignment="1" applyProtection="1">
      <alignment horizontal="center" vertical="center"/>
      <protection locked="0"/>
    </xf>
    <xf numFmtId="0" fontId="5" fillId="4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4" borderId="5" xfId="1" applyFont="1" applyFill="1" applyBorder="1" applyAlignment="1" applyProtection="1">
      <alignment horizontal="left" vertical="center"/>
      <protection locked="0"/>
    </xf>
    <xf numFmtId="0" fontId="5" fillId="4" borderId="6" xfId="1" applyFont="1" applyFill="1" applyBorder="1" applyAlignment="1" applyProtection="1">
      <alignment horizontal="left" vertical="center"/>
      <protection locked="0"/>
    </xf>
    <xf numFmtId="0" fontId="5" fillId="4" borderId="5" xfId="1" applyFont="1" applyFill="1" applyBorder="1" applyAlignment="1" applyProtection="1">
      <alignment horizontal="center" vertical="center"/>
      <protection locked="0"/>
    </xf>
    <xf numFmtId="0" fontId="5" fillId="4" borderId="6" xfId="1" applyFont="1" applyFill="1" applyBorder="1" applyAlignment="1" applyProtection="1">
      <alignment horizontal="center" vertical="center"/>
      <protection locked="0"/>
    </xf>
    <xf numFmtId="0" fontId="5" fillId="4" borderId="7" xfId="1" applyFont="1" applyFill="1" applyBorder="1" applyAlignment="1" applyProtection="1">
      <alignment horizontal="center" vertical="center"/>
      <protection locked="0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abSelected="1" topLeftCell="A19" workbookViewId="0">
      <selection activeCell="B91" sqref="B91"/>
    </sheetView>
  </sheetViews>
  <sheetFormatPr defaultColWidth="2.7109375" defaultRowHeight="12.75"/>
  <cols>
    <col min="1" max="1" width="3.28515625" style="31" customWidth="1"/>
    <col min="2" max="34" width="3.28515625" style="32" customWidth="1"/>
    <col min="35" max="35" width="2.7109375" style="3" customWidth="1"/>
    <col min="36" max="36" width="9.42578125" style="3" customWidth="1"/>
    <col min="37" max="109" width="2.7109375" style="3" customWidth="1"/>
    <col min="110" max="256" width="2.7109375" style="32"/>
    <col min="257" max="290" width="3.28515625" style="32" customWidth="1"/>
    <col min="291" max="291" width="2.7109375" style="32" customWidth="1"/>
    <col min="292" max="292" width="9.42578125" style="32" customWidth="1"/>
    <col min="293" max="365" width="2.7109375" style="32" customWidth="1"/>
    <col min="366" max="512" width="2.7109375" style="32"/>
    <col min="513" max="546" width="3.28515625" style="32" customWidth="1"/>
    <col min="547" max="547" width="2.7109375" style="32" customWidth="1"/>
    <col min="548" max="548" width="9.42578125" style="32" customWidth="1"/>
    <col min="549" max="621" width="2.7109375" style="32" customWidth="1"/>
    <col min="622" max="768" width="2.7109375" style="32"/>
    <col min="769" max="802" width="3.28515625" style="32" customWidth="1"/>
    <col min="803" max="803" width="2.7109375" style="32" customWidth="1"/>
    <col min="804" max="804" width="9.42578125" style="32" customWidth="1"/>
    <col min="805" max="877" width="2.7109375" style="32" customWidth="1"/>
    <col min="878" max="1024" width="2.7109375" style="32"/>
    <col min="1025" max="1058" width="3.28515625" style="32" customWidth="1"/>
    <col min="1059" max="1059" width="2.7109375" style="32" customWidth="1"/>
    <col min="1060" max="1060" width="9.42578125" style="32" customWidth="1"/>
    <col min="1061" max="1133" width="2.7109375" style="32" customWidth="1"/>
    <col min="1134" max="1280" width="2.7109375" style="32"/>
    <col min="1281" max="1314" width="3.28515625" style="32" customWidth="1"/>
    <col min="1315" max="1315" width="2.7109375" style="32" customWidth="1"/>
    <col min="1316" max="1316" width="9.42578125" style="32" customWidth="1"/>
    <col min="1317" max="1389" width="2.7109375" style="32" customWidth="1"/>
    <col min="1390" max="1536" width="2.7109375" style="32"/>
    <col min="1537" max="1570" width="3.28515625" style="32" customWidth="1"/>
    <col min="1571" max="1571" width="2.7109375" style="32" customWidth="1"/>
    <col min="1572" max="1572" width="9.42578125" style="32" customWidth="1"/>
    <col min="1573" max="1645" width="2.7109375" style="32" customWidth="1"/>
    <col min="1646" max="1792" width="2.7109375" style="32"/>
    <col min="1793" max="1826" width="3.28515625" style="32" customWidth="1"/>
    <col min="1827" max="1827" width="2.7109375" style="32" customWidth="1"/>
    <col min="1828" max="1828" width="9.42578125" style="32" customWidth="1"/>
    <col min="1829" max="1901" width="2.7109375" style="32" customWidth="1"/>
    <col min="1902" max="2048" width="2.7109375" style="32"/>
    <col min="2049" max="2082" width="3.28515625" style="32" customWidth="1"/>
    <col min="2083" max="2083" width="2.7109375" style="32" customWidth="1"/>
    <col min="2084" max="2084" width="9.42578125" style="32" customWidth="1"/>
    <col min="2085" max="2157" width="2.7109375" style="32" customWidth="1"/>
    <col min="2158" max="2304" width="2.7109375" style="32"/>
    <col min="2305" max="2338" width="3.28515625" style="32" customWidth="1"/>
    <col min="2339" max="2339" width="2.7109375" style="32" customWidth="1"/>
    <col min="2340" max="2340" width="9.42578125" style="32" customWidth="1"/>
    <col min="2341" max="2413" width="2.7109375" style="32" customWidth="1"/>
    <col min="2414" max="2560" width="2.7109375" style="32"/>
    <col min="2561" max="2594" width="3.28515625" style="32" customWidth="1"/>
    <col min="2595" max="2595" width="2.7109375" style="32" customWidth="1"/>
    <col min="2596" max="2596" width="9.42578125" style="32" customWidth="1"/>
    <col min="2597" max="2669" width="2.7109375" style="32" customWidth="1"/>
    <col min="2670" max="2816" width="2.7109375" style="32"/>
    <col min="2817" max="2850" width="3.28515625" style="32" customWidth="1"/>
    <col min="2851" max="2851" width="2.7109375" style="32" customWidth="1"/>
    <col min="2852" max="2852" width="9.42578125" style="32" customWidth="1"/>
    <col min="2853" max="2925" width="2.7109375" style="32" customWidth="1"/>
    <col min="2926" max="3072" width="2.7109375" style="32"/>
    <col min="3073" max="3106" width="3.28515625" style="32" customWidth="1"/>
    <col min="3107" max="3107" width="2.7109375" style="32" customWidth="1"/>
    <col min="3108" max="3108" width="9.42578125" style="32" customWidth="1"/>
    <col min="3109" max="3181" width="2.7109375" style="32" customWidth="1"/>
    <col min="3182" max="3328" width="2.7109375" style="32"/>
    <col min="3329" max="3362" width="3.28515625" style="32" customWidth="1"/>
    <col min="3363" max="3363" width="2.7109375" style="32" customWidth="1"/>
    <col min="3364" max="3364" width="9.42578125" style="32" customWidth="1"/>
    <col min="3365" max="3437" width="2.7109375" style="32" customWidth="1"/>
    <col min="3438" max="3584" width="2.7109375" style="32"/>
    <col min="3585" max="3618" width="3.28515625" style="32" customWidth="1"/>
    <col min="3619" max="3619" width="2.7109375" style="32" customWidth="1"/>
    <col min="3620" max="3620" width="9.42578125" style="32" customWidth="1"/>
    <col min="3621" max="3693" width="2.7109375" style="32" customWidth="1"/>
    <col min="3694" max="3840" width="2.7109375" style="32"/>
    <col min="3841" max="3874" width="3.28515625" style="32" customWidth="1"/>
    <col min="3875" max="3875" width="2.7109375" style="32" customWidth="1"/>
    <col min="3876" max="3876" width="9.42578125" style="32" customWidth="1"/>
    <col min="3877" max="3949" width="2.7109375" style="32" customWidth="1"/>
    <col min="3950" max="4096" width="2.7109375" style="32"/>
    <col min="4097" max="4130" width="3.28515625" style="32" customWidth="1"/>
    <col min="4131" max="4131" width="2.7109375" style="32" customWidth="1"/>
    <col min="4132" max="4132" width="9.42578125" style="32" customWidth="1"/>
    <col min="4133" max="4205" width="2.7109375" style="32" customWidth="1"/>
    <col min="4206" max="4352" width="2.7109375" style="32"/>
    <col min="4353" max="4386" width="3.28515625" style="32" customWidth="1"/>
    <col min="4387" max="4387" width="2.7109375" style="32" customWidth="1"/>
    <col min="4388" max="4388" width="9.42578125" style="32" customWidth="1"/>
    <col min="4389" max="4461" width="2.7109375" style="32" customWidth="1"/>
    <col min="4462" max="4608" width="2.7109375" style="32"/>
    <col min="4609" max="4642" width="3.28515625" style="32" customWidth="1"/>
    <col min="4643" max="4643" width="2.7109375" style="32" customWidth="1"/>
    <col min="4644" max="4644" width="9.42578125" style="32" customWidth="1"/>
    <col min="4645" max="4717" width="2.7109375" style="32" customWidth="1"/>
    <col min="4718" max="4864" width="2.7109375" style="32"/>
    <col min="4865" max="4898" width="3.28515625" style="32" customWidth="1"/>
    <col min="4899" max="4899" width="2.7109375" style="32" customWidth="1"/>
    <col min="4900" max="4900" width="9.42578125" style="32" customWidth="1"/>
    <col min="4901" max="4973" width="2.7109375" style="32" customWidth="1"/>
    <col min="4974" max="5120" width="2.7109375" style="32"/>
    <col min="5121" max="5154" width="3.28515625" style="32" customWidth="1"/>
    <col min="5155" max="5155" width="2.7109375" style="32" customWidth="1"/>
    <col min="5156" max="5156" width="9.42578125" style="32" customWidth="1"/>
    <col min="5157" max="5229" width="2.7109375" style="32" customWidth="1"/>
    <col min="5230" max="5376" width="2.7109375" style="32"/>
    <col min="5377" max="5410" width="3.28515625" style="32" customWidth="1"/>
    <col min="5411" max="5411" width="2.7109375" style="32" customWidth="1"/>
    <col min="5412" max="5412" width="9.42578125" style="32" customWidth="1"/>
    <col min="5413" max="5485" width="2.7109375" style="32" customWidth="1"/>
    <col min="5486" max="5632" width="2.7109375" style="32"/>
    <col min="5633" max="5666" width="3.28515625" style="32" customWidth="1"/>
    <col min="5667" max="5667" width="2.7109375" style="32" customWidth="1"/>
    <col min="5668" max="5668" width="9.42578125" style="32" customWidth="1"/>
    <col min="5669" max="5741" width="2.7109375" style="32" customWidth="1"/>
    <col min="5742" max="5888" width="2.7109375" style="32"/>
    <col min="5889" max="5922" width="3.28515625" style="32" customWidth="1"/>
    <col min="5923" max="5923" width="2.7109375" style="32" customWidth="1"/>
    <col min="5924" max="5924" width="9.42578125" style="32" customWidth="1"/>
    <col min="5925" max="5997" width="2.7109375" style="32" customWidth="1"/>
    <col min="5998" max="6144" width="2.7109375" style="32"/>
    <col min="6145" max="6178" width="3.28515625" style="32" customWidth="1"/>
    <col min="6179" max="6179" width="2.7109375" style="32" customWidth="1"/>
    <col min="6180" max="6180" width="9.42578125" style="32" customWidth="1"/>
    <col min="6181" max="6253" width="2.7109375" style="32" customWidth="1"/>
    <col min="6254" max="6400" width="2.7109375" style="32"/>
    <col min="6401" max="6434" width="3.28515625" style="32" customWidth="1"/>
    <col min="6435" max="6435" width="2.7109375" style="32" customWidth="1"/>
    <col min="6436" max="6436" width="9.42578125" style="32" customWidth="1"/>
    <col min="6437" max="6509" width="2.7109375" style="32" customWidth="1"/>
    <col min="6510" max="6656" width="2.7109375" style="32"/>
    <col min="6657" max="6690" width="3.28515625" style="32" customWidth="1"/>
    <col min="6691" max="6691" width="2.7109375" style="32" customWidth="1"/>
    <col min="6692" max="6692" width="9.42578125" style="32" customWidth="1"/>
    <col min="6693" max="6765" width="2.7109375" style="32" customWidth="1"/>
    <col min="6766" max="6912" width="2.7109375" style="32"/>
    <col min="6913" max="6946" width="3.28515625" style="32" customWidth="1"/>
    <col min="6947" max="6947" width="2.7109375" style="32" customWidth="1"/>
    <col min="6948" max="6948" width="9.42578125" style="32" customWidth="1"/>
    <col min="6949" max="7021" width="2.7109375" style="32" customWidth="1"/>
    <col min="7022" max="7168" width="2.7109375" style="32"/>
    <col min="7169" max="7202" width="3.28515625" style="32" customWidth="1"/>
    <col min="7203" max="7203" width="2.7109375" style="32" customWidth="1"/>
    <col min="7204" max="7204" width="9.42578125" style="32" customWidth="1"/>
    <col min="7205" max="7277" width="2.7109375" style="32" customWidth="1"/>
    <col min="7278" max="7424" width="2.7109375" style="32"/>
    <col min="7425" max="7458" width="3.28515625" style="32" customWidth="1"/>
    <col min="7459" max="7459" width="2.7109375" style="32" customWidth="1"/>
    <col min="7460" max="7460" width="9.42578125" style="32" customWidth="1"/>
    <col min="7461" max="7533" width="2.7109375" style="32" customWidth="1"/>
    <col min="7534" max="7680" width="2.7109375" style="32"/>
    <col min="7681" max="7714" width="3.28515625" style="32" customWidth="1"/>
    <col min="7715" max="7715" width="2.7109375" style="32" customWidth="1"/>
    <col min="7716" max="7716" width="9.42578125" style="32" customWidth="1"/>
    <col min="7717" max="7789" width="2.7109375" style="32" customWidth="1"/>
    <col min="7790" max="7936" width="2.7109375" style="32"/>
    <col min="7937" max="7970" width="3.28515625" style="32" customWidth="1"/>
    <col min="7971" max="7971" width="2.7109375" style="32" customWidth="1"/>
    <col min="7972" max="7972" width="9.42578125" style="32" customWidth="1"/>
    <col min="7973" max="8045" width="2.7109375" style="32" customWidth="1"/>
    <col min="8046" max="8192" width="2.7109375" style="32"/>
    <col min="8193" max="8226" width="3.28515625" style="32" customWidth="1"/>
    <col min="8227" max="8227" width="2.7109375" style="32" customWidth="1"/>
    <col min="8228" max="8228" width="9.42578125" style="32" customWidth="1"/>
    <col min="8229" max="8301" width="2.7109375" style="32" customWidth="1"/>
    <col min="8302" max="8448" width="2.7109375" style="32"/>
    <col min="8449" max="8482" width="3.28515625" style="32" customWidth="1"/>
    <col min="8483" max="8483" width="2.7109375" style="32" customWidth="1"/>
    <col min="8484" max="8484" width="9.42578125" style="32" customWidth="1"/>
    <col min="8485" max="8557" width="2.7109375" style="32" customWidth="1"/>
    <col min="8558" max="8704" width="2.7109375" style="32"/>
    <col min="8705" max="8738" width="3.28515625" style="32" customWidth="1"/>
    <col min="8739" max="8739" width="2.7109375" style="32" customWidth="1"/>
    <col min="8740" max="8740" width="9.42578125" style="32" customWidth="1"/>
    <col min="8741" max="8813" width="2.7109375" style="32" customWidth="1"/>
    <col min="8814" max="8960" width="2.7109375" style="32"/>
    <col min="8961" max="8994" width="3.28515625" style="32" customWidth="1"/>
    <col min="8995" max="8995" width="2.7109375" style="32" customWidth="1"/>
    <col min="8996" max="8996" width="9.42578125" style="32" customWidth="1"/>
    <col min="8997" max="9069" width="2.7109375" style="32" customWidth="1"/>
    <col min="9070" max="9216" width="2.7109375" style="32"/>
    <col min="9217" max="9250" width="3.28515625" style="32" customWidth="1"/>
    <col min="9251" max="9251" width="2.7109375" style="32" customWidth="1"/>
    <col min="9252" max="9252" width="9.42578125" style="32" customWidth="1"/>
    <col min="9253" max="9325" width="2.7109375" style="32" customWidth="1"/>
    <col min="9326" max="9472" width="2.7109375" style="32"/>
    <col min="9473" max="9506" width="3.28515625" style="32" customWidth="1"/>
    <col min="9507" max="9507" width="2.7109375" style="32" customWidth="1"/>
    <col min="9508" max="9508" width="9.42578125" style="32" customWidth="1"/>
    <col min="9509" max="9581" width="2.7109375" style="32" customWidth="1"/>
    <col min="9582" max="9728" width="2.7109375" style="32"/>
    <col min="9729" max="9762" width="3.28515625" style="32" customWidth="1"/>
    <col min="9763" max="9763" width="2.7109375" style="32" customWidth="1"/>
    <col min="9764" max="9764" width="9.42578125" style="32" customWidth="1"/>
    <col min="9765" max="9837" width="2.7109375" style="32" customWidth="1"/>
    <col min="9838" max="9984" width="2.7109375" style="32"/>
    <col min="9985" max="10018" width="3.28515625" style="32" customWidth="1"/>
    <col min="10019" max="10019" width="2.7109375" style="32" customWidth="1"/>
    <col min="10020" max="10020" width="9.42578125" style="32" customWidth="1"/>
    <col min="10021" max="10093" width="2.7109375" style="32" customWidth="1"/>
    <col min="10094" max="10240" width="2.7109375" style="32"/>
    <col min="10241" max="10274" width="3.28515625" style="32" customWidth="1"/>
    <col min="10275" max="10275" width="2.7109375" style="32" customWidth="1"/>
    <col min="10276" max="10276" width="9.42578125" style="32" customWidth="1"/>
    <col min="10277" max="10349" width="2.7109375" style="32" customWidth="1"/>
    <col min="10350" max="10496" width="2.7109375" style="32"/>
    <col min="10497" max="10530" width="3.28515625" style="32" customWidth="1"/>
    <col min="10531" max="10531" width="2.7109375" style="32" customWidth="1"/>
    <col min="10532" max="10532" width="9.42578125" style="32" customWidth="1"/>
    <col min="10533" max="10605" width="2.7109375" style="32" customWidth="1"/>
    <col min="10606" max="10752" width="2.7109375" style="32"/>
    <col min="10753" max="10786" width="3.28515625" style="32" customWidth="1"/>
    <col min="10787" max="10787" width="2.7109375" style="32" customWidth="1"/>
    <col min="10788" max="10788" width="9.42578125" style="32" customWidth="1"/>
    <col min="10789" max="10861" width="2.7109375" style="32" customWidth="1"/>
    <col min="10862" max="11008" width="2.7109375" style="32"/>
    <col min="11009" max="11042" width="3.28515625" style="32" customWidth="1"/>
    <col min="11043" max="11043" width="2.7109375" style="32" customWidth="1"/>
    <col min="11044" max="11044" width="9.42578125" style="32" customWidth="1"/>
    <col min="11045" max="11117" width="2.7109375" style="32" customWidth="1"/>
    <col min="11118" max="11264" width="2.7109375" style="32"/>
    <col min="11265" max="11298" width="3.28515625" style="32" customWidth="1"/>
    <col min="11299" max="11299" width="2.7109375" style="32" customWidth="1"/>
    <col min="11300" max="11300" width="9.42578125" style="32" customWidth="1"/>
    <col min="11301" max="11373" width="2.7109375" style="32" customWidth="1"/>
    <col min="11374" max="11520" width="2.7109375" style="32"/>
    <col min="11521" max="11554" width="3.28515625" style="32" customWidth="1"/>
    <col min="11555" max="11555" width="2.7109375" style="32" customWidth="1"/>
    <col min="11556" max="11556" width="9.42578125" style="32" customWidth="1"/>
    <col min="11557" max="11629" width="2.7109375" style="32" customWidth="1"/>
    <col min="11630" max="11776" width="2.7109375" style="32"/>
    <col min="11777" max="11810" width="3.28515625" style="32" customWidth="1"/>
    <col min="11811" max="11811" width="2.7109375" style="32" customWidth="1"/>
    <col min="11812" max="11812" width="9.42578125" style="32" customWidth="1"/>
    <col min="11813" max="11885" width="2.7109375" style="32" customWidth="1"/>
    <col min="11886" max="12032" width="2.7109375" style="32"/>
    <col min="12033" max="12066" width="3.28515625" style="32" customWidth="1"/>
    <col min="12067" max="12067" width="2.7109375" style="32" customWidth="1"/>
    <col min="12068" max="12068" width="9.42578125" style="32" customWidth="1"/>
    <col min="12069" max="12141" width="2.7109375" style="32" customWidth="1"/>
    <col min="12142" max="12288" width="2.7109375" style="32"/>
    <col min="12289" max="12322" width="3.28515625" style="32" customWidth="1"/>
    <col min="12323" max="12323" width="2.7109375" style="32" customWidth="1"/>
    <col min="12324" max="12324" width="9.42578125" style="32" customWidth="1"/>
    <col min="12325" max="12397" width="2.7109375" style="32" customWidth="1"/>
    <col min="12398" max="12544" width="2.7109375" style="32"/>
    <col min="12545" max="12578" width="3.28515625" style="32" customWidth="1"/>
    <col min="12579" max="12579" width="2.7109375" style="32" customWidth="1"/>
    <col min="12580" max="12580" width="9.42578125" style="32" customWidth="1"/>
    <col min="12581" max="12653" width="2.7109375" style="32" customWidth="1"/>
    <col min="12654" max="12800" width="2.7109375" style="32"/>
    <col min="12801" max="12834" width="3.28515625" style="32" customWidth="1"/>
    <col min="12835" max="12835" width="2.7109375" style="32" customWidth="1"/>
    <col min="12836" max="12836" width="9.42578125" style="32" customWidth="1"/>
    <col min="12837" max="12909" width="2.7109375" style="32" customWidth="1"/>
    <col min="12910" max="13056" width="2.7109375" style="32"/>
    <col min="13057" max="13090" width="3.28515625" style="32" customWidth="1"/>
    <col min="13091" max="13091" width="2.7109375" style="32" customWidth="1"/>
    <col min="13092" max="13092" width="9.42578125" style="32" customWidth="1"/>
    <col min="13093" max="13165" width="2.7109375" style="32" customWidth="1"/>
    <col min="13166" max="13312" width="2.7109375" style="32"/>
    <col min="13313" max="13346" width="3.28515625" style="32" customWidth="1"/>
    <col min="13347" max="13347" width="2.7109375" style="32" customWidth="1"/>
    <col min="13348" max="13348" width="9.42578125" style="32" customWidth="1"/>
    <col min="13349" max="13421" width="2.7109375" style="32" customWidth="1"/>
    <col min="13422" max="13568" width="2.7109375" style="32"/>
    <col min="13569" max="13602" width="3.28515625" style="32" customWidth="1"/>
    <col min="13603" max="13603" width="2.7109375" style="32" customWidth="1"/>
    <col min="13604" max="13604" width="9.42578125" style="32" customWidth="1"/>
    <col min="13605" max="13677" width="2.7109375" style="32" customWidth="1"/>
    <col min="13678" max="13824" width="2.7109375" style="32"/>
    <col min="13825" max="13858" width="3.28515625" style="32" customWidth="1"/>
    <col min="13859" max="13859" width="2.7109375" style="32" customWidth="1"/>
    <col min="13860" max="13860" width="9.42578125" style="32" customWidth="1"/>
    <col min="13861" max="13933" width="2.7109375" style="32" customWidth="1"/>
    <col min="13934" max="14080" width="2.7109375" style="32"/>
    <col min="14081" max="14114" width="3.28515625" style="32" customWidth="1"/>
    <col min="14115" max="14115" width="2.7109375" style="32" customWidth="1"/>
    <col min="14116" max="14116" width="9.42578125" style="32" customWidth="1"/>
    <col min="14117" max="14189" width="2.7109375" style="32" customWidth="1"/>
    <col min="14190" max="14336" width="2.7109375" style="32"/>
    <col min="14337" max="14370" width="3.28515625" style="32" customWidth="1"/>
    <col min="14371" max="14371" width="2.7109375" style="32" customWidth="1"/>
    <col min="14372" max="14372" width="9.42578125" style="32" customWidth="1"/>
    <col min="14373" max="14445" width="2.7109375" style="32" customWidth="1"/>
    <col min="14446" max="14592" width="2.7109375" style="32"/>
    <col min="14593" max="14626" width="3.28515625" style="32" customWidth="1"/>
    <col min="14627" max="14627" width="2.7109375" style="32" customWidth="1"/>
    <col min="14628" max="14628" width="9.42578125" style="32" customWidth="1"/>
    <col min="14629" max="14701" width="2.7109375" style="32" customWidth="1"/>
    <col min="14702" max="14848" width="2.7109375" style="32"/>
    <col min="14849" max="14882" width="3.28515625" style="32" customWidth="1"/>
    <col min="14883" max="14883" width="2.7109375" style="32" customWidth="1"/>
    <col min="14884" max="14884" width="9.42578125" style="32" customWidth="1"/>
    <col min="14885" max="14957" width="2.7109375" style="32" customWidth="1"/>
    <col min="14958" max="15104" width="2.7109375" style="32"/>
    <col min="15105" max="15138" width="3.28515625" style="32" customWidth="1"/>
    <col min="15139" max="15139" width="2.7109375" style="32" customWidth="1"/>
    <col min="15140" max="15140" width="9.42578125" style="32" customWidth="1"/>
    <col min="15141" max="15213" width="2.7109375" style="32" customWidth="1"/>
    <col min="15214" max="15360" width="2.7109375" style="32"/>
    <col min="15361" max="15394" width="3.28515625" style="32" customWidth="1"/>
    <col min="15395" max="15395" width="2.7109375" style="32" customWidth="1"/>
    <col min="15396" max="15396" width="9.42578125" style="32" customWidth="1"/>
    <col min="15397" max="15469" width="2.7109375" style="32" customWidth="1"/>
    <col min="15470" max="15616" width="2.7109375" style="32"/>
    <col min="15617" max="15650" width="3.28515625" style="32" customWidth="1"/>
    <col min="15651" max="15651" width="2.7109375" style="32" customWidth="1"/>
    <col min="15652" max="15652" width="9.42578125" style="32" customWidth="1"/>
    <col min="15653" max="15725" width="2.7109375" style="32" customWidth="1"/>
    <col min="15726" max="15872" width="2.7109375" style="32"/>
    <col min="15873" max="15906" width="3.28515625" style="32" customWidth="1"/>
    <col min="15907" max="15907" width="2.7109375" style="32" customWidth="1"/>
    <col min="15908" max="15908" width="9.42578125" style="32" customWidth="1"/>
    <col min="15909" max="15981" width="2.7109375" style="32" customWidth="1"/>
    <col min="15982" max="16128" width="2.7109375" style="32"/>
    <col min="16129" max="16162" width="3.28515625" style="32" customWidth="1"/>
    <col min="16163" max="16163" width="2.7109375" style="32" customWidth="1"/>
    <col min="16164" max="16164" width="9.42578125" style="32" customWidth="1"/>
    <col min="16165" max="16237" width="2.7109375" style="32" customWidth="1"/>
    <col min="16238" max="16384" width="2.7109375" style="32"/>
  </cols>
  <sheetData>
    <row r="1" spans="1:34" s="3" customFormat="1" ht="30" customHeight="1">
      <c r="A1" s="182" t="s">
        <v>24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</row>
    <row r="2" spans="1:34" s="3" customFormat="1" ht="30" customHeight="1">
      <c r="A2" s="182" t="s">
        <v>25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</row>
    <row r="3" spans="1:34" s="3" customFormat="1" ht="30" customHeight="1">
      <c r="A3" s="182" t="s">
        <v>26</v>
      </c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</row>
    <row r="4" spans="1:34" s="3" customFormat="1" ht="17.100000000000001" customHeight="1">
      <c r="A4" s="144" t="s">
        <v>27</v>
      </c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4" t="s">
        <v>28</v>
      </c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6"/>
    </row>
    <row r="5" spans="1:34" s="3" customFormat="1" ht="17.100000000000001" customHeight="1">
      <c r="A5" s="184" t="s">
        <v>29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6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7"/>
      <c r="AH5" s="188"/>
    </row>
    <row r="6" spans="1:34" s="3" customFormat="1" ht="17.100000000000001" customHeight="1">
      <c r="A6" s="171" t="s">
        <v>30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3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5"/>
    </row>
    <row r="7" spans="1:34" s="3" customFormat="1" ht="17.100000000000001" customHeight="1">
      <c r="A7" s="144" t="s">
        <v>31</v>
      </c>
      <c r="B7" s="145"/>
      <c r="C7" s="145"/>
      <c r="D7" s="145"/>
      <c r="E7" s="145"/>
      <c r="F7" s="145"/>
      <c r="G7" s="145"/>
      <c r="H7" s="145"/>
      <c r="I7" s="145"/>
      <c r="J7" s="176" t="s">
        <v>32</v>
      </c>
      <c r="K7" s="176"/>
      <c r="L7" s="176"/>
      <c r="M7" s="176"/>
      <c r="N7" s="176"/>
      <c r="O7" s="176"/>
      <c r="P7" s="176"/>
      <c r="Q7" s="176"/>
      <c r="R7" s="144" t="s">
        <v>33</v>
      </c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6"/>
    </row>
    <row r="8" spans="1:34" s="3" customFormat="1" ht="17.100000000000001" customHeight="1">
      <c r="A8" s="177"/>
      <c r="B8" s="178"/>
      <c r="C8" s="178"/>
      <c r="D8" s="178"/>
      <c r="E8" s="178"/>
      <c r="F8" s="178"/>
      <c r="G8" s="178"/>
      <c r="H8" s="178"/>
      <c r="I8" s="178"/>
      <c r="J8" s="48" t="s">
        <v>34</v>
      </c>
      <c r="K8" s="48"/>
      <c r="L8" s="48"/>
      <c r="M8" s="48"/>
      <c r="N8" s="48"/>
      <c r="O8" s="48"/>
      <c r="P8" s="48"/>
      <c r="Q8" s="177"/>
      <c r="R8" s="179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1"/>
    </row>
    <row r="9" spans="1:34" s="3" customFormat="1" ht="17.100000000000001" customHeight="1">
      <c r="A9" s="147" t="s">
        <v>35</v>
      </c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9"/>
      <c r="R9" s="150" t="s">
        <v>36</v>
      </c>
      <c r="S9" s="151"/>
      <c r="T9" s="151"/>
      <c r="U9" s="151"/>
      <c r="V9" s="151"/>
      <c r="W9" s="151"/>
      <c r="X9" s="151"/>
      <c r="Y9" s="151"/>
      <c r="Z9" s="152"/>
      <c r="AA9" s="150" t="s">
        <v>37</v>
      </c>
      <c r="AB9" s="151"/>
      <c r="AC9" s="151"/>
      <c r="AD9" s="151"/>
      <c r="AE9" s="151"/>
      <c r="AF9" s="151"/>
      <c r="AG9" s="151"/>
      <c r="AH9" s="152"/>
    </row>
    <row r="10" spans="1:34" s="3" customFormat="1" ht="17.100000000000001" customHeight="1">
      <c r="A10" s="156" t="s">
        <v>38</v>
      </c>
      <c r="B10" s="157"/>
      <c r="C10" s="157"/>
      <c r="D10" s="157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9"/>
      <c r="R10" s="153"/>
      <c r="S10" s="154"/>
      <c r="T10" s="154"/>
      <c r="U10" s="154"/>
      <c r="V10" s="154"/>
      <c r="W10" s="154"/>
      <c r="X10" s="154"/>
      <c r="Y10" s="154"/>
      <c r="Z10" s="155"/>
      <c r="AA10" s="153"/>
      <c r="AB10" s="154"/>
      <c r="AC10" s="154"/>
      <c r="AD10" s="154"/>
      <c r="AE10" s="154"/>
      <c r="AF10" s="154"/>
      <c r="AG10" s="154"/>
      <c r="AH10" s="155"/>
    </row>
    <row r="11" spans="1:34" s="3" customFormat="1" ht="17.100000000000001" customHeight="1">
      <c r="A11" s="16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2"/>
      <c r="R11" s="163" t="s">
        <v>156</v>
      </c>
      <c r="S11" s="164"/>
      <c r="T11" s="164"/>
      <c r="U11" s="164"/>
      <c r="V11" s="164"/>
      <c r="W11" s="164"/>
      <c r="X11" s="164"/>
      <c r="Y11" s="164"/>
      <c r="Z11" s="165"/>
      <c r="AA11" s="144" t="s">
        <v>39</v>
      </c>
      <c r="AB11" s="145"/>
      <c r="AC11" s="145"/>
      <c r="AD11" s="146"/>
      <c r="AE11" s="144" t="s">
        <v>40</v>
      </c>
      <c r="AF11" s="145"/>
      <c r="AG11" s="145"/>
      <c r="AH11" s="146"/>
    </row>
    <row r="12" spans="1:34" s="3" customFormat="1" ht="17.100000000000001" customHeight="1">
      <c r="A12" s="169" t="s">
        <v>41</v>
      </c>
      <c r="B12" s="170"/>
      <c r="C12" s="137"/>
      <c r="D12" s="137"/>
      <c r="E12" s="137"/>
      <c r="F12" s="137"/>
      <c r="G12" s="137"/>
      <c r="H12" s="137"/>
      <c r="I12" s="137"/>
      <c r="J12" s="138" t="s">
        <v>42</v>
      </c>
      <c r="K12" s="138"/>
      <c r="L12" s="138"/>
      <c r="M12" s="138"/>
      <c r="N12" s="139"/>
      <c r="O12" s="139"/>
      <c r="P12" s="139"/>
      <c r="Q12" s="140"/>
      <c r="R12" s="166"/>
      <c r="S12" s="167"/>
      <c r="T12" s="167"/>
      <c r="U12" s="167"/>
      <c r="V12" s="167"/>
      <c r="W12" s="167"/>
      <c r="X12" s="167"/>
      <c r="Y12" s="167"/>
      <c r="Z12" s="168"/>
      <c r="AA12" s="141" t="s">
        <v>154</v>
      </c>
      <c r="AB12" s="142"/>
      <c r="AC12" s="142"/>
      <c r="AD12" s="143"/>
      <c r="AE12" s="141" t="s">
        <v>155</v>
      </c>
      <c r="AF12" s="142"/>
      <c r="AG12" s="142"/>
      <c r="AH12" s="143"/>
    </row>
    <row r="13" spans="1:34" s="3" customFormat="1" ht="17.100000000000001" customHeight="1">
      <c r="A13" s="144" t="s">
        <v>43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6"/>
    </row>
    <row r="14" spans="1:34" s="3" customFormat="1" ht="17.100000000000001" customHeight="1">
      <c r="A14" s="128" t="s">
        <v>44</v>
      </c>
      <c r="B14" s="129"/>
      <c r="C14" s="129"/>
      <c r="D14" s="129"/>
      <c r="E14" s="130"/>
      <c r="F14" s="128" t="s">
        <v>45</v>
      </c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30"/>
      <c r="S14" s="128" t="s">
        <v>46</v>
      </c>
      <c r="T14" s="129"/>
      <c r="U14" s="129"/>
      <c r="V14" s="129"/>
      <c r="W14" s="129"/>
      <c r="X14" s="129"/>
      <c r="Y14" s="129"/>
      <c r="Z14" s="130"/>
      <c r="AA14" s="128" t="s">
        <v>47</v>
      </c>
      <c r="AB14" s="129"/>
      <c r="AC14" s="129"/>
      <c r="AD14" s="129"/>
      <c r="AE14" s="129"/>
      <c r="AF14" s="129"/>
      <c r="AG14" s="129"/>
      <c r="AH14" s="130"/>
    </row>
    <row r="15" spans="1:34" s="3" customFormat="1" ht="17.100000000000001" customHeight="1">
      <c r="A15" s="131"/>
      <c r="B15" s="132"/>
      <c r="C15" s="132"/>
      <c r="D15" s="132"/>
      <c r="E15" s="133"/>
      <c r="F15" s="131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3"/>
      <c r="S15" s="131"/>
      <c r="T15" s="132"/>
      <c r="U15" s="132"/>
      <c r="V15" s="132"/>
      <c r="W15" s="132"/>
      <c r="X15" s="132"/>
      <c r="Y15" s="132"/>
      <c r="Z15" s="133"/>
      <c r="AA15" s="131"/>
      <c r="AB15" s="132"/>
      <c r="AC15" s="132"/>
      <c r="AD15" s="132"/>
      <c r="AE15" s="132"/>
      <c r="AF15" s="132"/>
      <c r="AG15" s="132"/>
      <c r="AH15" s="133"/>
    </row>
    <row r="16" spans="1:34" s="3" customFormat="1" ht="17.100000000000001" customHeight="1">
      <c r="A16" s="134"/>
      <c r="B16" s="135"/>
      <c r="C16" s="135"/>
      <c r="D16" s="135"/>
      <c r="E16" s="136"/>
      <c r="F16" s="134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6"/>
      <c r="S16" s="134"/>
      <c r="T16" s="135"/>
      <c r="U16" s="135"/>
      <c r="V16" s="135"/>
      <c r="W16" s="135"/>
      <c r="X16" s="135"/>
      <c r="Y16" s="135"/>
      <c r="Z16" s="136"/>
      <c r="AA16" s="134"/>
      <c r="AB16" s="135"/>
      <c r="AC16" s="135"/>
      <c r="AD16" s="135"/>
      <c r="AE16" s="135"/>
      <c r="AF16" s="135"/>
      <c r="AG16" s="135"/>
      <c r="AH16" s="136"/>
    </row>
    <row r="17" spans="1:34" s="3" customFormat="1" ht="17.100000000000001" customHeight="1">
      <c r="A17" s="123" t="s">
        <v>48</v>
      </c>
      <c r="B17" s="123"/>
      <c r="C17" s="123"/>
      <c r="D17" s="123"/>
      <c r="E17" s="12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</row>
    <row r="18" spans="1:34" s="3" customFormat="1" ht="17.100000000000001" customHeight="1">
      <c r="A18" s="123" t="s">
        <v>49</v>
      </c>
      <c r="B18" s="123"/>
      <c r="C18" s="123"/>
      <c r="D18" s="123"/>
      <c r="E18" s="12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</row>
    <row r="19" spans="1:34" s="3" customFormat="1" ht="17.100000000000001" customHeight="1">
      <c r="A19" s="123" t="s">
        <v>50</v>
      </c>
      <c r="B19" s="123"/>
      <c r="C19" s="123"/>
      <c r="D19" s="123"/>
      <c r="E19" s="12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</row>
    <row r="20" spans="1:34" s="3" customFormat="1" ht="17.100000000000001" customHeight="1">
      <c r="A20" s="123" t="s">
        <v>51</v>
      </c>
      <c r="B20" s="123"/>
      <c r="C20" s="123"/>
      <c r="D20" s="123"/>
      <c r="E20" s="12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</row>
    <row r="21" spans="1:34" s="3" customFormat="1" ht="17.100000000000001" customHeight="1">
      <c r="A21" s="125" t="s">
        <v>52</v>
      </c>
      <c r="B21" s="125"/>
      <c r="C21" s="125"/>
      <c r="D21" s="125"/>
      <c r="E21" s="125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7">
        <f>SUM(S17:Z20)</f>
        <v>0</v>
      </c>
      <c r="T21" s="127"/>
      <c r="U21" s="127"/>
      <c r="V21" s="127"/>
      <c r="W21" s="127"/>
      <c r="X21" s="127"/>
      <c r="Y21" s="127"/>
      <c r="Z21" s="127"/>
      <c r="AA21" s="127">
        <f>SUM(AA17:AH20)</f>
        <v>0</v>
      </c>
      <c r="AB21" s="127"/>
      <c r="AC21" s="127"/>
      <c r="AD21" s="127"/>
      <c r="AE21" s="127"/>
      <c r="AF21" s="127"/>
      <c r="AG21" s="127"/>
      <c r="AH21" s="127"/>
    </row>
    <row r="22" spans="1:34" s="3" customFormat="1" ht="15" customHeight="1">
      <c r="A22" s="117" t="s">
        <v>53</v>
      </c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9"/>
    </row>
    <row r="23" spans="1:34" s="3" customFormat="1" ht="15" customHeight="1">
      <c r="A23" s="120" t="s">
        <v>54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</row>
    <row r="24" spans="1:34" s="3" customFormat="1" ht="15.95" customHeight="1">
      <c r="A24" s="4" t="s">
        <v>55</v>
      </c>
      <c r="B24" s="69" t="s">
        <v>56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91"/>
      <c r="Q24" s="5"/>
      <c r="R24" s="100"/>
      <c r="S24" s="122"/>
      <c r="T24" s="122"/>
      <c r="U24" s="122"/>
      <c r="V24" s="122"/>
      <c r="W24" s="6"/>
      <c r="X24" s="100"/>
      <c r="Y24" s="122"/>
      <c r="Z24" s="122"/>
      <c r="AA24" s="122"/>
      <c r="AB24" s="122"/>
      <c r="AC24" s="6"/>
      <c r="AD24" s="100"/>
      <c r="AE24" s="122"/>
      <c r="AF24" s="122"/>
      <c r="AG24" s="122"/>
      <c r="AH24" s="122"/>
    </row>
    <row r="25" spans="1:34" s="3" customFormat="1" ht="15.95" customHeight="1">
      <c r="A25" s="4"/>
      <c r="B25" s="7" t="s">
        <v>57</v>
      </c>
      <c r="C25" s="76" t="s">
        <v>58</v>
      </c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111"/>
      <c r="Q25" s="8" t="s">
        <v>59</v>
      </c>
      <c r="R25" s="112"/>
      <c r="S25" s="113"/>
      <c r="T25" s="113"/>
      <c r="U25" s="113"/>
      <c r="V25" s="113"/>
      <c r="W25" s="9"/>
      <c r="X25" s="91"/>
      <c r="Y25" s="92"/>
      <c r="Z25" s="92"/>
      <c r="AA25" s="92"/>
      <c r="AB25" s="92"/>
      <c r="AC25" s="9"/>
      <c r="AD25" s="91"/>
      <c r="AE25" s="92"/>
      <c r="AF25" s="92"/>
      <c r="AG25" s="92"/>
      <c r="AH25" s="92"/>
    </row>
    <row r="26" spans="1:34" s="3" customFormat="1" ht="15.95" customHeight="1">
      <c r="A26" s="4"/>
      <c r="B26" s="7" t="s">
        <v>60</v>
      </c>
      <c r="C26" s="114" t="s">
        <v>61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6"/>
      <c r="Q26" s="8" t="s">
        <v>59</v>
      </c>
      <c r="R26" s="112"/>
      <c r="S26" s="113"/>
      <c r="T26" s="113"/>
      <c r="U26" s="113"/>
      <c r="V26" s="113"/>
      <c r="W26" s="9"/>
      <c r="X26" s="91"/>
      <c r="Y26" s="92"/>
      <c r="Z26" s="92"/>
      <c r="AA26" s="92"/>
      <c r="AB26" s="92"/>
      <c r="AC26" s="9"/>
      <c r="AD26" s="91"/>
      <c r="AE26" s="92"/>
      <c r="AF26" s="92"/>
      <c r="AG26" s="92"/>
      <c r="AH26" s="92"/>
    </row>
    <row r="27" spans="1:34" s="3" customFormat="1" ht="15.95" customHeight="1">
      <c r="A27" s="4"/>
      <c r="B27" s="7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6"/>
      <c r="Q27" s="9"/>
      <c r="R27" s="91"/>
      <c r="S27" s="92"/>
      <c r="T27" s="92"/>
      <c r="U27" s="92"/>
      <c r="V27" s="92"/>
      <c r="W27" s="9"/>
      <c r="X27" s="91"/>
      <c r="Y27" s="92"/>
      <c r="Z27" s="92"/>
      <c r="AA27" s="92"/>
      <c r="AB27" s="92"/>
      <c r="AC27" s="9"/>
      <c r="AD27" s="91"/>
      <c r="AE27" s="92"/>
      <c r="AF27" s="92"/>
      <c r="AG27" s="92"/>
      <c r="AH27" s="92"/>
    </row>
    <row r="28" spans="1:34" s="3" customFormat="1" ht="15.95" customHeight="1">
      <c r="A28" s="4"/>
      <c r="B28" s="7" t="s">
        <v>62</v>
      </c>
      <c r="C28" s="76" t="s">
        <v>63</v>
      </c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91"/>
      <c r="Q28" s="8" t="s">
        <v>59</v>
      </c>
      <c r="R28" s="73"/>
      <c r="S28" s="77"/>
      <c r="T28" s="77"/>
      <c r="U28" s="77"/>
      <c r="V28" s="77"/>
      <c r="W28" s="9"/>
      <c r="X28" s="70"/>
      <c r="Y28" s="71"/>
      <c r="Z28" s="71"/>
      <c r="AA28" s="71"/>
      <c r="AB28" s="71"/>
      <c r="AC28" s="9"/>
      <c r="AD28" s="70"/>
      <c r="AE28" s="71"/>
      <c r="AF28" s="71"/>
      <c r="AG28" s="71"/>
      <c r="AH28" s="71"/>
    </row>
    <row r="29" spans="1:34" s="3" customFormat="1" ht="15.95" customHeight="1">
      <c r="A29" s="4"/>
      <c r="B29" s="7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91"/>
      <c r="Q29" s="9"/>
      <c r="R29" s="70"/>
      <c r="S29" s="71"/>
      <c r="T29" s="71"/>
      <c r="U29" s="71"/>
      <c r="V29" s="71"/>
      <c r="W29" s="9"/>
      <c r="X29" s="70"/>
      <c r="Y29" s="71"/>
      <c r="Z29" s="71"/>
      <c r="AA29" s="71"/>
      <c r="AB29" s="71"/>
      <c r="AC29" s="9"/>
      <c r="AD29" s="70"/>
      <c r="AE29" s="71"/>
      <c r="AF29" s="71"/>
      <c r="AG29" s="71"/>
      <c r="AH29" s="71"/>
    </row>
    <row r="30" spans="1:34" s="3" customFormat="1" ht="15.95" customHeight="1">
      <c r="A30" s="4"/>
      <c r="B30" s="7" t="s">
        <v>64</v>
      </c>
      <c r="C30" s="69" t="s">
        <v>52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91"/>
      <c r="Q30" s="9"/>
      <c r="R30" s="70"/>
      <c r="S30" s="71"/>
      <c r="T30" s="71"/>
      <c r="U30" s="71"/>
      <c r="V30" s="71"/>
      <c r="W30" s="8" t="s">
        <v>59</v>
      </c>
      <c r="X30" s="70">
        <f>R25+R26+R28</f>
        <v>0</v>
      </c>
      <c r="Y30" s="71"/>
      <c r="Z30" s="71"/>
      <c r="AA30" s="71"/>
      <c r="AB30" s="71"/>
      <c r="AC30" s="9"/>
      <c r="AD30" s="70"/>
      <c r="AE30" s="71"/>
      <c r="AF30" s="71"/>
      <c r="AG30" s="71"/>
      <c r="AH30" s="71"/>
    </row>
    <row r="31" spans="1:34" s="3" customFormat="1" ht="15.95" customHeight="1">
      <c r="A31" s="4" t="s">
        <v>65</v>
      </c>
      <c r="B31" s="76" t="s">
        <v>66</v>
      </c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91"/>
      <c r="Q31" s="9"/>
      <c r="R31" s="70"/>
      <c r="S31" s="71"/>
      <c r="T31" s="71"/>
      <c r="U31" s="71"/>
      <c r="V31" s="71"/>
      <c r="W31" s="9"/>
      <c r="X31" s="70"/>
      <c r="Y31" s="71"/>
      <c r="Z31" s="71"/>
      <c r="AA31" s="71"/>
      <c r="AB31" s="71"/>
      <c r="AC31" s="9"/>
      <c r="AD31" s="70"/>
      <c r="AE31" s="71"/>
      <c r="AF31" s="71"/>
      <c r="AG31" s="71"/>
      <c r="AH31" s="71"/>
    </row>
    <row r="32" spans="1:34" s="3" customFormat="1" ht="15.95" customHeight="1">
      <c r="A32" s="4"/>
      <c r="B32" s="105" t="s">
        <v>355</v>
      </c>
      <c r="C32" s="106"/>
      <c r="D32" s="106"/>
      <c r="E32" s="106"/>
      <c r="F32" s="106"/>
      <c r="G32" s="106"/>
      <c r="H32" s="106"/>
      <c r="I32" s="106"/>
      <c r="J32" s="106"/>
      <c r="K32" s="107"/>
      <c r="L32" s="108" t="s">
        <v>356</v>
      </c>
      <c r="M32" s="109"/>
      <c r="N32" s="109"/>
      <c r="O32" s="109"/>
      <c r="P32" s="110"/>
      <c r="Q32" s="9"/>
      <c r="R32" s="70"/>
      <c r="S32" s="71"/>
      <c r="T32" s="71"/>
      <c r="U32" s="71"/>
      <c r="V32" s="71"/>
      <c r="W32" s="9"/>
      <c r="X32" s="70"/>
      <c r="Y32" s="71"/>
      <c r="Z32" s="71"/>
      <c r="AA32" s="71"/>
      <c r="AB32" s="71"/>
      <c r="AC32" s="9"/>
      <c r="AD32" s="70"/>
      <c r="AE32" s="71"/>
      <c r="AF32" s="71"/>
      <c r="AG32" s="71"/>
      <c r="AH32" s="71"/>
    </row>
    <row r="33" spans="1:34" s="3" customFormat="1" ht="15.95" customHeight="1">
      <c r="A33" s="4"/>
      <c r="B33" s="44" t="s">
        <v>4</v>
      </c>
      <c r="C33" s="45"/>
      <c r="D33" s="45"/>
      <c r="E33" s="45"/>
      <c r="F33" s="45"/>
      <c r="G33" s="45"/>
      <c r="H33" s="45"/>
      <c r="I33" s="45"/>
      <c r="J33" s="45"/>
      <c r="K33" s="46"/>
      <c r="L33" s="44"/>
      <c r="M33" s="45"/>
      <c r="N33" s="45"/>
      <c r="O33" s="45"/>
      <c r="P33" s="46"/>
      <c r="Q33" s="7"/>
      <c r="R33" s="70"/>
      <c r="S33" s="71"/>
      <c r="T33" s="71"/>
      <c r="U33" s="71"/>
      <c r="V33" s="71"/>
      <c r="W33" s="9"/>
      <c r="X33" s="70"/>
      <c r="Y33" s="71"/>
      <c r="Z33" s="71"/>
      <c r="AA33" s="71"/>
      <c r="AB33" s="71"/>
      <c r="AC33" s="9"/>
      <c r="AD33" s="70"/>
      <c r="AE33" s="71"/>
      <c r="AF33" s="71"/>
      <c r="AG33" s="71"/>
      <c r="AH33" s="71"/>
    </row>
    <row r="34" spans="1:34" s="3" customFormat="1" ht="15.95" customHeight="1">
      <c r="A34" s="4"/>
      <c r="B34" s="44" t="s">
        <v>67</v>
      </c>
      <c r="C34" s="45"/>
      <c r="D34" s="45"/>
      <c r="E34" s="45"/>
      <c r="F34" s="45"/>
      <c r="G34" s="45"/>
      <c r="H34" s="45"/>
      <c r="I34" s="45"/>
      <c r="J34" s="45"/>
      <c r="K34" s="46"/>
      <c r="L34" s="44">
        <v>0</v>
      </c>
      <c r="M34" s="45"/>
      <c r="N34" s="45"/>
      <c r="O34" s="45"/>
      <c r="P34" s="46"/>
      <c r="Q34" s="9"/>
      <c r="R34" s="70"/>
      <c r="S34" s="71"/>
      <c r="T34" s="71"/>
      <c r="U34" s="71"/>
      <c r="V34" s="71"/>
      <c r="W34" s="9"/>
      <c r="X34" s="70"/>
      <c r="Y34" s="71"/>
      <c r="Z34" s="71"/>
      <c r="AA34" s="71"/>
      <c r="AB34" s="71"/>
      <c r="AC34" s="9"/>
      <c r="AD34" s="70"/>
      <c r="AE34" s="71"/>
      <c r="AF34" s="71"/>
      <c r="AG34" s="71"/>
      <c r="AH34" s="71"/>
    </row>
    <row r="35" spans="1:34" s="3" customFormat="1" ht="15.95" customHeight="1">
      <c r="A35" s="4"/>
      <c r="B35" s="44" t="s">
        <v>68</v>
      </c>
      <c r="C35" s="45"/>
      <c r="D35" s="45"/>
      <c r="E35" s="45"/>
      <c r="F35" s="45"/>
      <c r="G35" s="45"/>
      <c r="H35" s="45"/>
      <c r="I35" s="45"/>
      <c r="J35" s="45"/>
      <c r="K35" s="46"/>
      <c r="L35" s="44">
        <f>[1]SEARCH!V29</f>
        <v>0</v>
      </c>
      <c r="M35" s="45"/>
      <c r="N35" s="45"/>
      <c r="O35" s="45"/>
      <c r="P35" s="46"/>
      <c r="Q35" s="9"/>
      <c r="R35" s="70"/>
      <c r="S35" s="71"/>
      <c r="T35" s="71"/>
      <c r="U35" s="71"/>
      <c r="V35" s="71"/>
      <c r="W35" s="8" t="s">
        <v>59</v>
      </c>
      <c r="X35" s="70">
        <f>SUM(L32:P35)</f>
        <v>0</v>
      </c>
      <c r="Y35" s="71"/>
      <c r="Z35" s="71"/>
      <c r="AA35" s="71"/>
      <c r="AB35" s="71"/>
      <c r="AC35" s="9"/>
      <c r="AD35" s="70"/>
      <c r="AE35" s="71"/>
      <c r="AF35" s="71"/>
      <c r="AG35" s="71"/>
      <c r="AH35" s="71"/>
    </row>
    <row r="36" spans="1:34" s="3" customFormat="1" ht="15.95" customHeight="1">
      <c r="A36" s="4" t="s">
        <v>69</v>
      </c>
      <c r="B36" s="99" t="s">
        <v>70</v>
      </c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100"/>
      <c r="Q36" s="9"/>
      <c r="R36" s="70"/>
      <c r="S36" s="71"/>
      <c r="T36" s="71"/>
      <c r="U36" s="71"/>
      <c r="V36" s="71"/>
      <c r="W36" s="8" t="s">
        <v>59</v>
      </c>
      <c r="X36" s="70">
        <f>X30-X35</f>
        <v>0</v>
      </c>
      <c r="Y36" s="71"/>
      <c r="Z36" s="71"/>
      <c r="AA36" s="71"/>
      <c r="AB36" s="71"/>
      <c r="AC36" s="9"/>
      <c r="AD36" s="70"/>
      <c r="AE36" s="71"/>
      <c r="AF36" s="71"/>
      <c r="AG36" s="71"/>
      <c r="AH36" s="71"/>
    </row>
    <row r="37" spans="1:34" s="3" customFormat="1" ht="15.95" customHeight="1">
      <c r="A37" s="4" t="s">
        <v>71</v>
      </c>
      <c r="B37" s="69" t="s">
        <v>72</v>
      </c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91"/>
      <c r="Q37" s="9"/>
      <c r="R37" s="70"/>
      <c r="S37" s="71"/>
      <c r="T37" s="71"/>
      <c r="U37" s="71"/>
      <c r="V37" s="71"/>
      <c r="W37" s="9"/>
      <c r="X37" s="70"/>
      <c r="Y37" s="71"/>
      <c r="Z37" s="71"/>
      <c r="AA37" s="71"/>
      <c r="AB37" s="71"/>
      <c r="AC37" s="9"/>
      <c r="AD37" s="70"/>
      <c r="AE37" s="71"/>
      <c r="AF37" s="71"/>
      <c r="AG37" s="71"/>
      <c r="AH37" s="71"/>
    </row>
    <row r="38" spans="1:34" s="3" customFormat="1" ht="15.95" customHeight="1">
      <c r="A38" s="4"/>
      <c r="B38" s="7" t="s">
        <v>57</v>
      </c>
      <c r="C38" s="69" t="s">
        <v>73</v>
      </c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91"/>
      <c r="Q38" s="8" t="s">
        <v>59</v>
      </c>
      <c r="R38" s="73"/>
      <c r="S38" s="77"/>
      <c r="T38" s="77"/>
      <c r="U38" s="77"/>
      <c r="V38" s="77"/>
      <c r="W38" s="9"/>
      <c r="X38" s="70"/>
      <c r="Y38" s="71"/>
      <c r="Z38" s="71"/>
      <c r="AA38" s="71"/>
      <c r="AB38" s="71"/>
      <c r="AC38" s="9"/>
      <c r="AD38" s="70"/>
      <c r="AE38" s="71"/>
      <c r="AF38" s="71"/>
      <c r="AG38" s="71"/>
      <c r="AH38" s="71"/>
    </row>
    <row r="39" spans="1:34" s="3" customFormat="1" ht="15.95" customHeight="1">
      <c r="A39" s="4"/>
      <c r="B39" s="7" t="s">
        <v>60</v>
      </c>
      <c r="C39" s="69" t="s">
        <v>74</v>
      </c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91"/>
      <c r="Q39" s="8" t="s">
        <v>59</v>
      </c>
      <c r="R39" s="73"/>
      <c r="S39" s="77"/>
      <c r="T39" s="77"/>
      <c r="U39" s="77"/>
      <c r="V39" s="77"/>
      <c r="W39" s="9"/>
      <c r="X39" s="70"/>
      <c r="Y39" s="71"/>
      <c r="Z39" s="71"/>
      <c r="AA39" s="71"/>
      <c r="AB39" s="71"/>
      <c r="AC39" s="9"/>
      <c r="AD39" s="70"/>
      <c r="AE39" s="71"/>
      <c r="AF39" s="71"/>
      <c r="AG39" s="71"/>
      <c r="AH39" s="71"/>
    </row>
    <row r="40" spans="1:34" s="3" customFormat="1" ht="15.95" customHeight="1">
      <c r="A40" s="4" t="s">
        <v>75</v>
      </c>
      <c r="B40" s="69" t="s">
        <v>76</v>
      </c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91"/>
      <c r="Q40" s="9"/>
      <c r="R40" s="70"/>
      <c r="S40" s="71"/>
      <c r="T40" s="71"/>
      <c r="U40" s="71"/>
      <c r="V40" s="71"/>
      <c r="W40" s="8" t="s">
        <v>59</v>
      </c>
      <c r="X40" s="70">
        <f>SUM(R38:V39)</f>
        <v>0</v>
      </c>
      <c r="Y40" s="71"/>
      <c r="Z40" s="71"/>
      <c r="AA40" s="71"/>
      <c r="AB40" s="71"/>
      <c r="AC40" s="9"/>
      <c r="AD40" s="70"/>
      <c r="AE40" s="71"/>
      <c r="AF40" s="71"/>
      <c r="AG40" s="71"/>
      <c r="AH40" s="71"/>
    </row>
    <row r="41" spans="1:34" s="3" customFormat="1" ht="15.95" customHeight="1">
      <c r="A41" s="4" t="s">
        <v>77</v>
      </c>
      <c r="B41" s="76" t="s">
        <v>78</v>
      </c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91"/>
      <c r="Q41" s="9"/>
      <c r="R41" s="70"/>
      <c r="S41" s="71"/>
      <c r="T41" s="71"/>
      <c r="U41" s="71"/>
      <c r="V41" s="71"/>
      <c r="W41" s="9"/>
      <c r="X41" s="70"/>
      <c r="Y41" s="71"/>
      <c r="Z41" s="71"/>
      <c r="AA41" s="71"/>
      <c r="AB41" s="71"/>
      <c r="AC41" s="8" t="s">
        <v>59</v>
      </c>
      <c r="AD41" s="70">
        <f>X36-X40</f>
        <v>0</v>
      </c>
      <c r="AE41" s="71"/>
      <c r="AF41" s="71"/>
      <c r="AG41" s="71"/>
      <c r="AH41" s="71"/>
    </row>
    <row r="42" spans="1:34" s="3" customFormat="1" ht="15.95" customHeight="1">
      <c r="A42" s="4" t="s">
        <v>79</v>
      </c>
      <c r="B42" s="76" t="s">
        <v>80</v>
      </c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91"/>
      <c r="Q42" s="9"/>
      <c r="R42" s="70"/>
      <c r="S42" s="71"/>
      <c r="T42" s="71"/>
      <c r="U42" s="71"/>
      <c r="V42" s="71"/>
      <c r="W42" s="9"/>
      <c r="X42" s="70"/>
      <c r="Y42" s="71"/>
      <c r="Z42" s="71"/>
      <c r="AA42" s="71"/>
      <c r="AB42" s="71"/>
      <c r="AC42" s="9"/>
      <c r="AD42" s="70"/>
      <c r="AE42" s="71"/>
      <c r="AF42" s="71"/>
      <c r="AG42" s="71"/>
      <c r="AH42" s="71"/>
    </row>
    <row r="43" spans="1:34" s="3" customFormat="1" ht="15.95" customHeight="1">
      <c r="A43" s="4"/>
      <c r="B43" s="104" t="s">
        <v>81</v>
      </c>
      <c r="C43" s="104"/>
      <c r="D43" s="104"/>
      <c r="E43" s="104"/>
      <c r="F43" s="104"/>
      <c r="G43" s="104"/>
      <c r="H43" s="104"/>
      <c r="I43" s="104"/>
      <c r="J43" s="104"/>
      <c r="K43" s="104" t="s">
        <v>59</v>
      </c>
      <c r="L43" s="104"/>
      <c r="M43" s="104"/>
      <c r="N43" s="104"/>
      <c r="O43" s="104"/>
      <c r="P43" s="104"/>
      <c r="Q43" s="9"/>
      <c r="R43" s="70"/>
      <c r="S43" s="71"/>
      <c r="T43" s="71"/>
      <c r="U43" s="71"/>
      <c r="V43" s="71"/>
      <c r="W43" s="9"/>
      <c r="X43" s="70"/>
      <c r="Y43" s="71"/>
      <c r="Z43" s="71"/>
      <c r="AA43" s="71"/>
      <c r="AB43" s="71"/>
      <c r="AC43" s="9"/>
      <c r="AD43" s="70"/>
      <c r="AE43" s="71"/>
      <c r="AF43" s="71"/>
      <c r="AG43" s="71"/>
      <c r="AH43" s="71"/>
    </row>
    <row r="44" spans="1:34" s="3" customFormat="1" ht="15.95" customHeight="1">
      <c r="A44" s="4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9"/>
      <c r="R44" s="70"/>
      <c r="S44" s="71"/>
      <c r="T44" s="71"/>
      <c r="U44" s="71"/>
      <c r="V44" s="71"/>
      <c r="W44" s="9"/>
      <c r="X44" s="70"/>
      <c r="Y44" s="71"/>
      <c r="Z44" s="71"/>
      <c r="AA44" s="71"/>
      <c r="AB44" s="71"/>
      <c r="AC44" s="9"/>
      <c r="AD44" s="70"/>
      <c r="AE44" s="71"/>
      <c r="AF44" s="71"/>
      <c r="AG44" s="71"/>
      <c r="AH44" s="71"/>
    </row>
    <row r="45" spans="1:34" s="3" customFormat="1" ht="15.95" customHeight="1">
      <c r="A45" s="4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9"/>
      <c r="R45" s="70"/>
      <c r="S45" s="71"/>
      <c r="T45" s="71"/>
      <c r="U45" s="71"/>
      <c r="V45" s="71"/>
      <c r="W45" s="8" t="s">
        <v>59</v>
      </c>
      <c r="X45" s="70">
        <f>SUM(K44:P45)</f>
        <v>0</v>
      </c>
      <c r="Y45" s="71"/>
      <c r="Z45" s="71"/>
      <c r="AA45" s="71"/>
      <c r="AB45" s="71"/>
      <c r="AC45" s="9"/>
      <c r="AD45" s="70"/>
      <c r="AE45" s="71"/>
      <c r="AF45" s="71"/>
      <c r="AG45" s="71"/>
      <c r="AH45" s="71"/>
    </row>
    <row r="46" spans="1:34" s="3" customFormat="1" ht="15.95" customHeight="1">
      <c r="A46" s="4" t="s">
        <v>82</v>
      </c>
      <c r="B46" s="99" t="s">
        <v>83</v>
      </c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100"/>
      <c r="Q46" s="9"/>
      <c r="R46" s="70"/>
      <c r="S46" s="71"/>
      <c r="T46" s="71"/>
      <c r="U46" s="71"/>
      <c r="V46" s="71"/>
      <c r="W46" s="9"/>
      <c r="X46" s="70"/>
      <c r="Y46" s="71"/>
      <c r="Z46" s="71"/>
      <c r="AA46" s="71"/>
      <c r="AB46" s="71"/>
      <c r="AC46" s="8" t="s">
        <v>59</v>
      </c>
      <c r="AD46" s="70">
        <f>AD41+X45</f>
        <v>0</v>
      </c>
      <c r="AE46" s="71"/>
      <c r="AF46" s="71"/>
      <c r="AG46" s="71"/>
      <c r="AH46" s="71"/>
    </row>
    <row r="47" spans="1:34" s="3" customFormat="1" ht="15.95" customHeight="1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2"/>
      <c r="Q47" s="13"/>
      <c r="R47" s="101"/>
      <c r="S47" s="102"/>
      <c r="T47" s="102"/>
      <c r="U47" s="102"/>
      <c r="V47" s="102"/>
      <c r="W47" s="13"/>
      <c r="X47" s="101"/>
      <c r="Y47" s="102"/>
      <c r="Z47" s="102"/>
      <c r="AA47" s="102"/>
      <c r="AB47" s="102"/>
      <c r="AC47" s="13"/>
      <c r="AD47" s="101"/>
      <c r="AE47" s="102"/>
      <c r="AF47" s="102"/>
      <c r="AG47" s="102"/>
      <c r="AH47" s="102"/>
    </row>
    <row r="48" spans="1:34" s="3" customFormat="1" ht="15" customHeight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6"/>
    </row>
    <row r="49" spans="1:34" s="3" customFormat="1" ht="15" customHeight="1">
      <c r="A49" s="14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6"/>
      <c r="Q49" s="6"/>
      <c r="R49" s="97"/>
      <c r="S49" s="98"/>
      <c r="T49" s="98"/>
      <c r="U49" s="98"/>
      <c r="V49" s="98"/>
      <c r="W49" s="6"/>
      <c r="X49" s="99"/>
      <c r="Y49" s="99"/>
      <c r="Z49" s="99"/>
      <c r="AA49" s="99"/>
      <c r="AB49" s="100"/>
      <c r="AC49" s="6"/>
      <c r="AD49" s="99"/>
      <c r="AE49" s="99"/>
      <c r="AF49" s="99"/>
      <c r="AG49" s="99"/>
      <c r="AH49" s="100"/>
    </row>
    <row r="50" spans="1:34" s="3" customFormat="1" ht="15" customHeight="1">
      <c r="A50" s="4" t="s">
        <v>84</v>
      </c>
      <c r="B50" s="76" t="s">
        <v>85</v>
      </c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91"/>
      <c r="Q50" s="9"/>
      <c r="R50" s="70"/>
      <c r="S50" s="71"/>
      <c r="T50" s="71"/>
      <c r="U50" s="71"/>
      <c r="V50" s="71"/>
      <c r="W50" s="9"/>
      <c r="X50" s="91"/>
      <c r="Y50" s="92"/>
      <c r="Z50" s="92"/>
      <c r="AA50" s="92"/>
      <c r="AB50" s="92"/>
      <c r="AC50" s="93"/>
      <c r="AD50" s="81"/>
      <c r="AE50" s="81"/>
      <c r="AF50" s="81"/>
      <c r="AG50" s="81"/>
      <c r="AH50" s="94"/>
    </row>
    <row r="51" spans="1:34" s="3" customFormat="1" ht="15" customHeight="1">
      <c r="A51" s="17"/>
      <c r="B51" s="69" t="s">
        <v>86</v>
      </c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91"/>
      <c r="Q51" s="9"/>
      <c r="R51" s="70"/>
      <c r="S51" s="71"/>
      <c r="T51" s="71"/>
      <c r="U51" s="71"/>
      <c r="V51" s="71"/>
      <c r="W51" s="9"/>
      <c r="X51" s="91"/>
      <c r="Y51" s="92"/>
      <c r="Z51" s="92"/>
      <c r="AA51" s="92"/>
      <c r="AB51" s="92"/>
      <c r="AC51" s="9"/>
      <c r="AD51" s="91"/>
      <c r="AE51" s="92"/>
      <c r="AF51" s="92"/>
      <c r="AG51" s="92"/>
      <c r="AH51" s="92"/>
    </row>
    <row r="52" spans="1:34" s="3" customFormat="1" ht="15" customHeight="1">
      <c r="A52" s="17"/>
      <c r="B52" s="7" t="s">
        <v>87</v>
      </c>
      <c r="C52" s="69" t="s">
        <v>88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91"/>
      <c r="Q52" s="9"/>
      <c r="R52" s="70"/>
      <c r="S52" s="71"/>
      <c r="T52" s="71"/>
      <c r="U52" s="71"/>
      <c r="V52" s="71"/>
      <c r="W52" s="9"/>
      <c r="X52" s="91" t="s">
        <v>89</v>
      </c>
      <c r="Y52" s="92"/>
      <c r="Z52" s="92"/>
      <c r="AA52" s="92"/>
      <c r="AB52" s="92"/>
      <c r="AC52" s="93" t="s">
        <v>90</v>
      </c>
      <c r="AD52" s="81"/>
      <c r="AE52" s="81"/>
      <c r="AF52" s="81"/>
      <c r="AG52" s="81"/>
      <c r="AH52" s="94"/>
    </row>
    <row r="53" spans="1:34" s="3" customFormat="1" ht="15" customHeight="1">
      <c r="A53" s="17"/>
      <c r="B53" s="81" t="s">
        <v>91</v>
      </c>
      <c r="C53" s="81"/>
      <c r="D53" s="82" t="s">
        <v>7</v>
      </c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3"/>
      <c r="Q53" s="8" t="s">
        <v>59</v>
      </c>
      <c r="R53" s="73"/>
      <c r="S53" s="77"/>
      <c r="T53" s="77"/>
      <c r="U53" s="77"/>
      <c r="V53" s="77"/>
      <c r="W53" s="9"/>
      <c r="X53" s="91"/>
      <c r="Y53" s="92"/>
      <c r="Z53" s="92"/>
      <c r="AA53" s="92"/>
      <c r="AB53" s="92"/>
      <c r="AC53" s="9"/>
      <c r="AD53" s="91"/>
      <c r="AE53" s="92"/>
      <c r="AF53" s="92"/>
      <c r="AG53" s="92"/>
      <c r="AH53" s="92"/>
    </row>
    <row r="54" spans="1:34" s="3" customFormat="1" ht="15" customHeight="1">
      <c r="A54" s="17"/>
      <c r="B54" s="81" t="s">
        <v>92</v>
      </c>
      <c r="C54" s="81"/>
      <c r="D54" s="87" t="s">
        <v>93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8"/>
      <c r="Q54" s="8" t="s">
        <v>59</v>
      </c>
      <c r="R54" s="73"/>
      <c r="S54" s="77"/>
      <c r="T54" s="77"/>
      <c r="U54" s="77"/>
      <c r="V54" s="77"/>
      <c r="W54" s="9"/>
      <c r="X54" s="91"/>
      <c r="Y54" s="92"/>
      <c r="Z54" s="92"/>
      <c r="AA54" s="92"/>
      <c r="AB54" s="92"/>
      <c r="AC54" s="9"/>
      <c r="AD54" s="91"/>
      <c r="AE54" s="92"/>
      <c r="AF54" s="92"/>
      <c r="AG54" s="92"/>
      <c r="AH54" s="92"/>
    </row>
    <row r="55" spans="1:34" s="3" customFormat="1" ht="15" customHeight="1">
      <c r="A55" s="17"/>
      <c r="B55" s="81" t="s">
        <v>94</v>
      </c>
      <c r="C55" s="81"/>
      <c r="D55" s="87" t="s">
        <v>95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8"/>
      <c r="Q55" s="8" t="s">
        <v>59</v>
      </c>
      <c r="R55" s="73"/>
      <c r="S55" s="77"/>
      <c r="T55" s="77"/>
      <c r="U55" s="77"/>
      <c r="V55" s="77"/>
      <c r="W55" s="9"/>
      <c r="X55" s="91"/>
      <c r="Y55" s="92"/>
      <c r="Z55" s="92"/>
      <c r="AA55" s="92"/>
      <c r="AB55" s="92"/>
      <c r="AC55" s="9"/>
      <c r="AD55" s="91"/>
      <c r="AE55" s="92"/>
      <c r="AF55" s="92"/>
      <c r="AG55" s="92"/>
      <c r="AH55" s="92"/>
    </row>
    <row r="56" spans="1:34" s="3" customFormat="1" ht="15" customHeight="1">
      <c r="A56" s="17"/>
      <c r="B56" s="81" t="s">
        <v>96</v>
      </c>
      <c r="C56" s="81"/>
      <c r="D56" s="87" t="s">
        <v>12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8"/>
      <c r="Q56" s="8" t="s">
        <v>59</v>
      </c>
      <c r="R56" s="73"/>
      <c r="S56" s="77"/>
      <c r="T56" s="77"/>
      <c r="U56" s="77"/>
      <c r="V56" s="77"/>
      <c r="W56" s="9"/>
      <c r="X56" s="91"/>
      <c r="Y56" s="92"/>
      <c r="Z56" s="92"/>
      <c r="AA56" s="92"/>
      <c r="AB56" s="92"/>
      <c r="AC56" s="9"/>
      <c r="AD56" s="91"/>
      <c r="AE56" s="92"/>
      <c r="AF56" s="92"/>
      <c r="AG56" s="92"/>
      <c r="AH56" s="92"/>
    </row>
    <row r="57" spans="1:34" s="3" customFormat="1" ht="15" customHeight="1">
      <c r="A57" s="17"/>
      <c r="B57" s="81" t="s">
        <v>97</v>
      </c>
      <c r="C57" s="81"/>
      <c r="D57" s="87" t="s">
        <v>16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8"/>
      <c r="Q57" s="8" t="s">
        <v>59</v>
      </c>
      <c r="R57" s="73"/>
      <c r="S57" s="77"/>
      <c r="T57" s="77"/>
      <c r="U57" s="77"/>
      <c r="V57" s="77"/>
      <c r="W57" s="9"/>
      <c r="X57" s="91"/>
      <c r="Y57" s="92"/>
      <c r="Z57" s="92"/>
      <c r="AA57" s="92"/>
      <c r="AB57" s="92"/>
      <c r="AC57" s="9"/>
      <c r="AD57" s="91"/>
      <c r="AE57" s="92"/>
      <c r="AF57" s="92"/>
      <c r="AG57" s="92"/>
      <c r="AH57" s="92"/>
    </row>
    <row r="58" spans="1:34" s="3" customFormat="1" ht="15" customHeight="1">
      <c r="A58" s="17"/>
      <c r="B58" s="81" t="s">
        <v>98</v>
      </c>
      <c r="C58" s="81"/>
      <c r="D58" s="87" t="s">
        <v>15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8"/>
      <c r="Q58" s="8" t="s">
        <v>59</v>
      </c>
      <c r="R58" s="73"/>
      <c r="S58" s="77"/>
      <c r="T58" s="77"/>
      <c r="U58" s="77"/>
      <c r="V58" s="77"/>
      <c r="W58" s="9"/>
      <c r="X58" s="70"/>
      <c r="Y58" s="71"/>
      <c r="Z58" s="71"/>
      <c r="AA58" s="71"/>
      <c r="AB58" s="71"/>
      <c r="AC58" s="9"/>
      <c r="AD58" s="70"/>
      <c r="AE58" s="71"/>
      <c r="AF58" s="71"/>
      <c r="AG58" s="71"/>
      <c r="AH58" s="71"/>
    </row>
    <row r="59" spans="1:34" s="3" customFormat="1" ht="15" customHeight="1">
      <c r="A59" s="17"/>
      <c r="B59" s="81" t="s">
        <v>99</v>
      </c>
      <c r="C59" s="81"/>
      <c r="D59" s="87" t="s">
        <v>19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8"/>
      <c r="Q59" s="8" t="s">
        <v>59</v>
      </c>
      <c r="R59" s="73"/>
      <c r="S59" s="77"/>
      <c r="T59" s="77"/>
      <c r="U59" s="77"/>
      <c r="V59" s="77"/>
      <c r="W59" s="8"/>
      <c r="X59" s="70"/>
      <c r="Y59" s="71"/>
      <c r="Z59" s="71"/>
      <c r="AA59" s="71"/>
      <c r="AB59" s="71"/>
      <c r="AC59" s="8"/>
      <c r="AD59" s="70"/>
      <c r="AE59" s="71"/>
      <c r="AF59" s="71"/>
      <c r="AG59" s="71"/>
      <c r="AH59" s="71"/>
    </row>
    <row r="60" spans="1:34" s="3" customFormat="1" ht="15" customHeight="1">
      <c r="A60" s="17"/>
      <c r="B60" s="81" t="s">
        <v>99</v>
      </c>
      <c r="C60" s="81"/>
      <c r="D60" s="89" t="s">
        <v>100</v>
      </c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90"/>
      <c r="Q60" s="9" t="s">
        <v>59</v>
      </c>
      <c r="R60" s="73"/>
      <c r="S60" s="77"/>
      <c r="T60" s="77"/>
      <c r="U60" s="77"/>
      <c r="V60" s="77"/>
      <c r="W60" s="8"/>
      <c r="X60" s="73"/>
      <c r="Y60" s="77"/>
      <c r="Z60" s="77"/>
      <c r="AA60" s="77"/>
      <c r="AB60" s="77"/>
      <c r="AC60" s="8" t="s">
        <v>59</v>
      </c>
      <c r="AD60" s="73"/>
      <c r="AE60" s="77"/>
      <c r="AF60" s="77"/>
      <c r="AG60" s="77"/>
      <c r="AH60" s="77"/>
    </row>
    <row r="61" spans="1:34" s="3" customFormat="1" ht="15" customHeight="1">
      <c r="A61" s="17"/>
      <c r="B61" s="81" t="s">
        <v>101</v>
      </c>
      <c r="C61" s="81"/>
      <c r="D61" s="69" t="s">
        <v>102</v>
      </c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9" t="s">
        <v>59</v>
      </c>
      <c r="R61" s="70"/>
      <c r="S61" s="71"/>
      <c r="T61" s="71"/>
      <c r="U61" s="71"/>
      <c r="V61" s="71"/>
      <c r="W61" s="8" t="s">
        <v>59</v>
      </c>
      <c r="X61" s="73">
        <f>SUM(R53:V61)</f>
        <v>0</v>
      </c>
      <c r="Y61" s="77"/>
      <c r="Z61" s="77"/>
      <c r="AA61" s="77"/>
      <c r="AB61" s="77"/>
      <c r="AC61" s="8" t="s">
        <v>59</v>
      </c>
      <c r="AD61" s="73">
        <f>IF(X61+(R69-AD69)&gt;150000,150000,X61+(R69-AD69))</f>
        <v>0</v>
      </c>
      <c r="AE61" s="77"/>
      <c r="AF61" s="77"/>
      <c r="AG61" s="77"/>
      <c r="AH61" s="77"/>
    </row>
    <row r="62" spans="1:34" s="3" customFormat="1" ht="15" customHeight="1">
      <c r="A62" s="17"/>
      <c r="B62" s="84" t="s">
        <v>103</v>
      </c>
      <c r="C62" s="84"/>
      <c r="D62" s="85" t="s">
        <v>104</v>
      </c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9"/>
      <c r="R62" s="70"/>
      <c r="S62" s="71"/>
      <c r="T62" s="71"/>
      <c r="U62" s="71"/>
      <c r="V62" s="71"/>
      <c r="W62" s="9"/>
      <c r="X62" s="70"/>
      <c r="Y62" s="71"/>
      <c r="Z62" s="71"/>
      <c r="AA62" s="71"/>
      <c r="AB62" s="71"/>
      <c r="AC62" s="8"/>
      <c r="AD62" s="70"/>
      <c r="AE62" s="71"/>
      <c r="AF62" s="71"/>
      <c r="AG62" s="71"/>
      <c r="AH62" s="71"/>
    </row>
    <row r="63" spans="1:34" s="3" customFormat="1" ht="15" customHeight="1">
      <c r="A63" s="17"/>
      <c r="B63" s="84"/>
      <c r="C63" s="84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9"/>
      <c r="R63" s="70"/>
      <c r="S63" s="71"/>
      <c r="T63" s="71"/>
      <c r="U63" s="71"/>
      <c r="V63" s="71"/>
      <c r="W63" s="9"/>
      <c r="X63" s="70"/>
      <c r="Y63" s="71"/>
      <c r="Z63" s="71"/>
      <c r="AA63" s="71"/>
      <c r="AB63" s="71"/>
      <c r="AC63" s="9"/>
      <c r="AD63" s="70"/>
      <c r="AE63" s="71"/>
      <c r="AF63" s="71"/>
      <c r="AG63" s="71"/>
      <c r="AH63" s="71"/>
    </row>
    <row r="64" spans="1:34" s="3" customFormat="1" ht="15" customHeight="1">
      <c r="A64" s="17"/>
      <c r="B64" s="84">
        <v>2</v>
      </c>
      <c r="C64" s="84"/>
      <c r="D64" s="85" t="s">
        <v>105</v>
      </c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9"/>
      <c r="R64" s="70"/>
      <c r="S64" s="71"/>
      <c r="T64" s="71"/>
      <c r="U64" s="71"/>
      <c r="V64" s="71"/>
      <c r="W64" s="9"/>
      <c r="X64" s="70"/>
      <c r="Y64" s="71"/>
      <c r="Z64" s="71"/>
      <c r="AA64" s="71"/>
      <c r="AB64" s="71"/>
      <c r="AC64" s="9"/>
      <c r="AD64" s="70"/>
      <c r="AE64" s="71"/>
      <c r="AF64" s="71"/>
      <c r="AG64" s="71"/>
      <c r="AH64" s="71"/>
    </row>
    <row r="65" spans="1:36" s="3" customFormat="1" ht="15" customHeight="1">
      <c r="A65" s="17"/>
      <c r="B65" s="84"/>
      <c r="C65" s="84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9"/>
      <c r="R65" s="70"/>
      <c r="S65" s="71"/>
      <c r="T65" s="71"/>
      <c r="U65" s="71"/>
      <c r="V65" s="71"/>
      <c r="W65" s="9"/>
      <c r="X65" s="70"/>
      <c r="Y65" s="71"/>
      <c r="Z65" s="71"/>
      <c r="AA65" s="71"/>
      <c r="AB65" s="71"/>
      <c r="AC65" s="9"/>
      <c r="AD65" s="70"/>
      <c r="AE65" s="71"/>
      <c r="AF65" s="71"/>
      <c r="AG65" s="71"/>
      <c r="AH65" s="71"/>
    </row>
    <row r="66" spans="1:36" s="3" customFormat="1" ht="15" customHeight="1">
      <c r="A66" s="17"/>
      <c r="B66" s="18"/>
      <c r="C66" s="18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9"/>
      <c r="R66" s="70"/>
      <c r="S66" s="71"/>
      <c r="T66" s="71"/>
      <c r="U66" s="71"/>
      <c r="V66" s="71"/>
      <c r="W66" s="9"/>
      <c r="X66" s="70"/>
      <c r="Y66" s="71"/>
      <c r="Z66" s="71"/>
      <c r="AA66" s="71"/>
      <c r="AB66" s="71"/>
      <c r="AC66" s="9"/>
      <c r="AD66" s="70"/>
      <c r="AE66" s="71"/>
      <c r="AF66" s="71"/>
      <c r="AG66" s="71"/>
      <c r="AH66" s="71"/>
    </row>
    <row r="67" spans="1:36" s="3" customFormat="1" ht="15" customHeight="1">
      <c r="A67" s="17"/>
      <c r="B67" s="7" t="s">
        <v>106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9"/>
      <c r="R67" s="70"/>
      <c r="S67" s="71"/>
      <c r="T67" s="71"/>
      <c r="U67" s="71"/>
      <c r="V67" s="71"/>
      <c r="W67" s="9"/>
      <c r="X67" s="70"/>
      <c r="Y67" s="71"/>
      <c r="Z67" s="71"/>
      <c r="AA67" s="71"/>
      <c r="AB67" s="71"/>
      <c r="AC67" s="9"/>
      <c r="AD67" s="70"/>
      <c r="AE67" s="71"/>
      <c r="AF67" s="71"/>
      <c r="AG67" s="71"/>
      <c r="AH67" s="71"/>
    </row>
    <row r="68" spans="1:36" s="3" customFormat="1" ht="15" customHeight="1">
      <c r="A68" s="1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9"/>
      <c r="R68" s="70"/>
      <c r="S68" s="71"/>
      <c r="T68" s="71"/>
      <c r="U68" s="71"/>
      <c r="V68" s="71"/>
      <c r="W68" s="9"/>
      <c r="X68" s="70"/>
      <c r="Y68" s="71"/>
      <c r="Z68" s="71"/>
      <c r="AA68" s="71"/>
      <c r="AB68" s="71"/>
      <c r="AC68" s="9"/>
      <c r="AD68" s="70"/>
      <c r="AE68" s="71"/>
      <c r="AF68" s="71"/>
      <c r="AG68" s="71"/>
      <c r="AH68" s="71"/>
    </row>
    <row r="69" spans="1:36" s="3" customFormat="1" ht="15" customHeight="1">
      <c r="A69" s="17"/>
      <c r="B69" s="81" t="s">
        <v>91</v>
      </c>
      <c r="C69" s="81"/>
      <c r="D69" s="82" t="s">
        <v>107</v>
      </c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3"/>
      <c r="Q69" s="8" t="s">
        <v>59</v>
      </c>
      <c r="R69" s="73"/>
      <c r="S69" s="77"/>
      <c r="T69" s="77"/>
      <c r="U69" s="77"/>
      <c r="V69" s="77"/>
      <c r="W69" s="8" t="s">
        <v>59</v>
      </c>
      <c r="X69" s="73"/>
      <c r="Y69" s="77"/>
      <c r="Z69" s="77"/>
      <c r="AA69" s="77"/>
      <c r="AB69" s="77"/>
      <c r="AC69" s="8" t="s">
        <v>59</v>
      </c>
      <c r="AD69" s="73">
        <f>IF(R69&gt;50000,50000,R69)</f>
        <v>0</v>
      </c>
      <c r="AE69" s="77"/>
      <c r="AF69" s="77"/>
      <c r="AG69" s="77"/>
      <c r="AH69" s="77"/>
    </row>
    <row r="70" spans="1:36" s="3" customFormat="1" ht="19.5" customHeight="1">
      <c r="A70" s="17"/>
      <c r="B70" s="81"/>
      <c r="C70" s="81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3"/>
      <c r="Q70" s="8" t="s">
        <v>59</v>
      </c>
      <c r="R70" s="73"/>
      <c r="S70" s="77"/>
      <c r="T70" s="77"/>
      <c r="U70" s="77"/>
      <c r="V70" s="77"/>
      <c r="W70" s="8" t="s">
        <v>59</v>
      </c>
      <c r="X70" s="73"/>
      <c r="Y70" s="77"/>
      <c r="Z70" s="77"/>
      <c r="AA70" s="77"/>
      <c r="AB70" s="77"/>
      <c r="AC70" s="8" t="s">
        <v>59</v>
      </c>
      <c r="AD70" s="73"/>
      <c r="AE70" s="77"/>
      <c r="AF70" s="77"/>
      <c r="AG70" s="77"/>
      <c r="AH70" s="77"/>
    </row>
    <row r="71" spans="1:36" s="3" customFormat="1" ht="15" customHeight="1">
      <c r="A71" s="17"/>
      <c r="B71" s="7" t="s">
        <v>108</v>
      </c>
      <c r="C71" s="19" t="s">
        <v>109</v>
      </c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1"/>
      <c r="Q71" s="8" t="s">
        <v>59</v>
      </c>
      <c r="R71" s="73"/>
      <c r="S71" s="77"/>
      <c r="T71" s="77"/>
      <c r="U71" s="77"/>
      <c r="V71" s="77"/>
      <c r="W71" s="8" t="s">
        <v>59</v>
      </c>
      <c r="X71" s="73"/>
      <c r="Y71" s="77"/>
      <c r="Z71" s="77"/>
      <c r="AA71" s="77"/>
      <c r="AB71" s="77"/>
      <c r="AC71" s="8" t="s">
        <v>59</v>
      </c>
      <c r="AD71" s="73"/>
      <c r="AE71" s="77"/>
      <c r="AF71" s="77"/>
      <c r="AG71" s="77"/>
      <c r="AH71" s="77"/>
    </row>
    <row r="72" spans="1:36" s="3" customFormat="1" ht="15" customHeight="1">
      <c r="A72" s="17"/>
      <c r="B72" s="81" t="s">
        <v>91</v>
      </c>
      <c r="C72" s="81"/>
      <c r="D72" s="82" t="s">
        <v>8</v>
      </c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3"/>
      <c r="Q72" s="8" t="s">
        <v>59</v>
      </c>
      <c r="R72" s="73">
        <f>[1]SEARCH!S50</f>
        <v>0</v>
      </c>
      <c r="S72" s="77"/>
      <c r="T72" s="77"/>
      <c r="U72" s="77"/>
      <c r="V72" s="77"/>
      <c r="W72" s="8" t="s">
        <v>59</v>
      </c>
      <c r="X72" s="73">
        <f>R72</f>
        <v>0</v>
      </c>
      <c r="Y72" s="77"/>
      <c r="Z72" s="77"/>
      <c r="AA72" s="77"/>
      <c r="AB72" s="77"/>
      <c r="AC72" s="8" t="s">
        <v>59</v>
      </c>
      <c r="AD72" s="73"/>
      <c r="AE72" s="77"/>
      <c r="AF72" s="77"/>
      <c r="AG72" s="77"/>
      <c r="AH72" s="77"/>
    </row>
    <row r="73" spans="1:36" s="3" customFormat="1" ht="15" customHeight="1">
      <c r="A73" s="17"/>
      <c r="B73" s="81" t="s">
        <v>92</v>
      </c>
      <c r="C73" s="81"/>
      <c r="D73" s="82" t="s">
        <v>110</v>
      </c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3"/>
      <c r="Q73" s="8" t="s">
        <v>59</v>
      </c>
      <c r="R73" s="73">
        <f>[1]SEARCH!S51</f>
        <v>0</v>
      </c>
      <c r="S73" s="77"/>
      <c r="T73" s="77"/>
      <c r="U73" s="77"/>
      <c r="V73" s="77"/>
      <c r="W73" s="8" t="s">
        <v>59</v>
      </c>
      <c r="X73" s="73">
        <f>R73</f>
        <v>0</v>
      </c>
      <c r="Y73" s="77"/>
      <c r="Z73" s="77"/>
      <c r="AA73" s="77"/>
      <c r="AB73" s="77"/>
      <c r="AC73" s="8" t="s">
        <v>59</v>
      </c>
      <c r="AD73" s="73">
        <f>IF(SUM(X72:AB73)&gt;50000,50000,SUM(X72:AB73))</f>
        <v>0</v>
      </c>
      <c r="AE73" s="77"/>
      <c r="AF73" s="77"/>
      <c r="AG73" s="77"/>
      <c r="AH73" s="77"/>
    </row>
    <row r="74" spans="1:36" s="3" customFormat="1" ht="15" customHeight="1">
      <c r="A74" s="1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9"/>
      <c r="R74" s="70"/>
      <c r="S74" s="71"/>
      <c r="T74" s="71"/>
      <c r="U74" s="71"/>
      <c r="V74" s="71"/>
      <c r="W74" s="9"/>
      <c r="X74" s="70"/>
      <c r="Y74" s="71"/>
      <c r="Z74" s="71"/>
      <c r="AA74" s="71"/>
      <c r="AB74" s="71"/>
      <c r="AC74" s="9"/>
      <c r="AD74" s="70"/>
      <c r="AE74" s="71"/>
      <c r="AF74" s="71"/>
      <c r="AG74" s="71"/>
      <c r="AH74" s="71"/>
    </row>
    <row r="75" spans="1:36" s="3" customFormat="1" ht="15" customHeight="1">
      <c r="A75" s="4" t="s">
        <v>111</v>
      </c>
      <c r="B75" s="69" t="s">
        <v>112</v>
      </c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9"/>
      <c r="R75" s="70"/>
      <c r="S75" s="71"/>
      <c r="T75" s="71"/>
      <c r="U75" s="71"/>
      <c r="V75" s="71"/>
      <c r="W75" s="9"/>
      <c r="X75" s="70"/>
      <c r="Y75" s="71"/>
      <c r="Z75" s="71"/>
      <c r="AA75" s="71"/>
      <c r="AB75" s="71"/>
      <c r="AC75" s="8" t="s">
        <v>59</v>
      </c>
      <c r="AD75" s="70">
        <f>SUM(AD60:AH73)</f>
        <v>0</v>
      </c>
      <c r="AE75" s="71"/>
      <c r="AF75" s="71"/>
      <c r="AG75" s="71"/>
      <c r="AH75" s="71"/>
    </row>
    <row r="76" spans="1:36" s="3" customFormat="1" ht="15" customHeight="1">
      <c r="A76" s="4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9"/>
      <c r="R76" s="70"/>
      <c r="S76" s="71"/>
      <c r="T76" s="71"/>
      <c r="U76" s="71"/>
      <c r="V76" s="71"/>
      <c r="W76" s="9"/>
      <c r="X76" s="70"/>
      <c r="Y76" s="71"/>
      <c r="Z76" s="71"/>
      <c r="AA76" s="71"/>
      <c r="AB76" s="71"/>
      <c r="AC76" s="9"/>
      <c r="AD76" s="70"/>
      <c r="AE76" s="71"/>
      <c r="AF76" s="71"/>
      <c r="AG76" s="71"/>
      <c r="AH76" s="71"/>
    </row>
    <row r="77" spans="1:36" s="3" customFormat="1" ht="15" customHeight="1">
      <c r="A77" s="4" t="s">
        <v>113</v>
      </c>
      <c r="B77" s="69" t="s">
        <v>114</v>
      </c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9"/>
      <c r="R77" s="70"/>
      <c r="S77" s="71"/>
      <c r="T77" s="71"/>
      <c r="U77" s="71"/>
      <c r="V77" s="71"/>
      <c r="W77" s="9"/>
      <c r="X77" s="70"/>
      <c r="Y77" s="71"/>
      <c r="Z77" s="71"/>
      <c r="AA77" s="71"/>
      <c r="AB77" s="71"/>
      <c r="AC77" s="8" t="s">
        <v>59</v>
      </c>
      <c r="AD77" s="70">
        <f>AD46-AD75</f>
        <v>0</v>
      </c>
      <c r="AE77" s="71"/>
      <c r="AF77" s="71"/>
      <c r="AG77" s="71"/>
      <c r="AH77" s="71"/>
      <c r="AJ77" s="22">
        <f>IF([2]Sheet2!A2=1,IF(AD77&gt;250000,IF((AD77-250000)*0.1&gt;2000,2000,(AD77-250000)*0.1),0))+IF([2]Sheet2!A2=2,IF(AD77&gt;300000,IF((AD77-300000)*0.1&gt;2000,2000,(AD77-300000)*0.1),0))</f>
        <v>0</v>
      </c>
    </row>
    <row r="78" spans="1:36" s="3" customFormat="1" ht="15" customHeight="1">
      <c r="A78" s="4" t="s">
        <v>115</v>
      </c>
      <c r="B78" s="7" t="s">
        <v>116</v>
      </c>
      <c r="C78" s="7"/>
      <c r="D78" s="7"/>
      <c r="E78" s="7"/>
      <c r="F78" s="7"/>
      <c r="G78" s="7"/>
      <c r="H78" s="42" t="s">
        <v>357</v>
      </c>
      <c r="I78" s="42"/>
      <c r="J78" s="42"/>
      <c r="K78" s="80" t="str">
        <f>IF(AD77&gt;350000,0,IF(AD77 &gt; 250000, IF(ROUND((AD77-250000)*0.05,0)&gt;2500,2500,ROUND((AD77-250000)*0.05,0)),0)) &amp; ")"</f>
        <v>0)</v>
      </c>
      <c r="L78" s="80"/>
      <c r="M78" s="80"/>
      <c r="N78" s="7"/>
      <c r="O78" s="7"/>
      <c r="P78" s="7"/>
      <c r="Q78" s="9"/>
      <c r="R78" s="70"/>
      <c r="S78" s="71"/>
      <c r="T78" s="71"/>
      <c r="U78" s="71"/>
      <c r="V78" s="71"/>
      <c r="W78" s="9"/>
      <c r="X78" s="70"/>
      <c r="Y78" s="71"/>
      <c r="Z78" s="71"/>
      <c r="AA78" s="71"/>
      <c r="AB78" s="71"/>
      <c r="AC78" s="8" t="s">
        <v>59</v>
      </c>
      <c r="AD78" s="78">
        <f>calculate_tax(AD77)</f>
        <v>0</v>
      </c>
      <c r="AE78" s="78"/>
      <c r="AF78" s="78"/>
      <c r="AG78" s="78"/>
      <c r="AH78" s="79"/>
    </row>
    <row r="79" spans="1:36" s="3" customFormat="1" ht="15" customHeight="1">
      <c r="A79" s="4" t="s">
        <v>117</v>
      </c>
      <c r="B79" s="7" t="s">
        <v>118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9"/>
      <c r="R79" s="70"/>
      <c r="S79" s="71"/>
      <c r="T79" s="71"/>
      <c r="U79" s="71"/>
      <c r="V79" s="71"/>
      <c r="W79" s="9"/>
      <c r="X79" s="70"/>
      <c r="Y79" s="71"/>
      <c r="Z79" s="71"/>
      <c r="AA79" s="71"/>
      <c r="AB79" s="71"/>
      <c r="AC79" s="8" t="s">
        <v>59</v>
      </c>
      <c r="AD79" s="70">
        <f>ROUND(AD78*3/100,0)</f>
        <v>0</v>
      </c>
      <c r="AE79" s="71"/>
      <c r="AF79" s="71"/>
      <c r="AG79" s="71"/>
      <c r="AH79" s="71"/>
    </row>
    <row r="80" spans="1:36" s="3" customFormat="1" ht="15" customHeight="1">
      <c r="A80" s="4" t="s">
        <v>119</v>
      </c>
      <c r="B80" s="7" t="s">
        <v>120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9"/>
      <c r="R80" s="70"/>
      <c r="S80" s="71"/>
      <c r="T80" s="71"/>
      <c r="U80" s="71"/>
      <c r="V80" s="71"/>
      <c r="W80" s="9"/>
      <c r="X80" s="70"/>
      <c r="Y80" s="71"/>
      <c r="Z80" s="71"/>
      <c r="AA80" s="71"/>
      <c r="AB80" s="71"/>
      <c r="AC80" s="8" t="s">
        <v>59</v>
      </c>
      <c r="AD80" s="70">
        <f>AD78+AD79</f>
        <v>0</v>
      </c>
      <c r="AE80" s="71"/>
      <c r="AF80" s="71"/>
      <c r="AG80" s="71"/>
      <c r="AH80" s="71"/>
    </row>
    <row r="81" spans="1:34" s="3" customFormat="1" ht="15" customHeight="1">
      <c r="A81" s="4" t="s">
        <v>121</v>
      </c>
      <c r="B81" s="76" t="s">
        <v>122</v>
      </c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9"/>
      <c r="R81" s="70"/>
      <c r="S81" s="71"/>
      <c r="T81" s="71"/>
      <c r="U81" s="71"/>
      <c r="V81" s="71"/>
      <c r="W81" s="9"/>
      <c r="X81" s="70"/>
      <c r="Y81" s="71"/>
      <c r="Z81" s="71"/>
      <c r="AA81" s="71"/>
      <c r="AB81" s="71"/>
      <c r="AC81" s="8" t="s">
        <v>59</v>
      </c>
      <c r="AD81" s="73"/>
      <c r="AE81" s="77"/>
      <c r="AF81" s="77"/>
      <c r="AG81" s="77"/>
      <c r="AH81" s="77"/>
    </row>
    <row r="82" spans="1:34" s="3" customFormat="1" ht="15" customHeight="1">
      <c r="A82" s="4" t="s">
        <v>123</v>
      </c>
      <c r="B82" s="69" t="s">
        <v>124</v>
      </c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9"/>
      <c r="R82" s="70"/>
      <c r="S82" s="71"/>
      <c r="T82" s="71"/>
      <c r="U82" s="71"/>
      <c r="V82" s="71"/>
      <c r="W82" s="9"/>
      <c r="X82" s="70"/>
      <c r="Y82" s="71"/>
      <c r="Z82" s="71"/>
      <c r="AA82" s="71"/>
      <c r="AB82" s="71"/>
      <c r="AC82" s="8" t="s">
        <v>59</v>
      </c>
      <c r="AD82" s="70">
        <f>AD80-AD81</f>
        <v>0</v>
      </c>
      <c r="AE82" s="71"/>
      <c r="AF82" s="71"/>
      <c r="AG82" s="71"/>
      <c r="AH82" s="71"/>
    </row>
    <row r="83" spans="1:34" s="3" customFormat="1" ht="15" customHeight="1">
      <c r="A83" s="4" t="s">
        <v>125</v>
      </c>
      <c r="B83" s="7" t="s">
        <v>126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9"/>
      <c r="R83" s="23"/>
      <c r="S83" s="23"/>
      <c r="T83" s="23"/>
      <c r="U83" s="23"/>
      <c r="V83" s="23"/>
      <c r="W83" s="9"/>
      <c r="X83" s="23"/>
      <c r="Y83" s="23"/>
      <c r="Z83" s="23"/>
      <c r="AA83" s="23"/>
      <c r="AB83" s="23"/>
      <c r="AC83" s="8" t="s">
        <v>59</v>
      </c>
      <c r="AD83" s="72"/>
      <c r="AE83" s="72"/>
      <c r="AF83" s="72"/>
      <c r="AG83" s="72"/>
      <c r="AH83" s="73"/>
    </row>
    <row r="84" spans="1:34" s="3" customFormat="1" ht="15" customHeight="1">
      <c r="A84" s="4" t="s">
        <v>127</v>
      </c>
      <c r="B84" s="7" t="s">
        <v>128</v>
      </c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9"/>
      <c r="R84" s="23"/>
      <c r="S84" s="23"/>
      <c r="T84" s="23"/>
      <c r="U84" s="23"/>
      <c r="V84" s="23"/>
      <c r="W84" s="9"/>
      <c r="X84" s="23"/>
      <c r="Y84" s="23"/>
      <c r="Z84" s="23"/>
      <c r="AA84" s="23"/>
      <c r="AB84" s="23"/>
      <c r="AC84" s="8" t="s">
        <v>59</v>
      </c>
      <c r="AD84" s="74">
        <f>AD82-AD83</f>
        <v>0</v>
      </c>
      <c r="AE84" s="75"/>
      <c r="AF84" s="75"/>
      <c r="AG84" s="75"/>
      <c r="AH84" s="70"/>
    </row>
    <row r="85" spans="1:34" s="3" customFormat="1" ht="5.0999999999999996" customHeight="1">
      <c r="A85" s="2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3"/>
      <c r="R85" s="25"/>
      <c r="S85" s="25"/>
      <c r="T85" s="25"/>
      <c r="U85" s="25"/>
      <c r="V85" s="25"/>
      <c r="W85" s="13"/>
      <c r="X85" s="25"/>
      <c r="Y85" s="25"/>
      <c r="Z85" s="25"/>
      <c r="AA85" s="25"/>
      <c r="AB85" s="25"/>
      <c r="AC85" s="13"/>
      <c r="AD85" s="25"/>
      <c r="AE85" s="25"/>
      <c r="AF85" s="25"/>
      <c r="AG85" s="25"/>
      <c r="AH85" s="26"/>
    </row>
    <row r="86" spans="1:34" s="3" customFormat="1" ht="15" customHeight="1">
      <c r="A86" s="61" t="s">
        <v>129</v>
      </c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</row>
    <row r="87" spans="1:34" s="3" customFormat="1" ht="15" customHeight="1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</row>
    <row r="88" spans="1:34" s="3" customFormat="1" ht="15" customHeight="1">
      <c r="A88" s="27" t="s">
        <v>130</v>
      </c>
      <c r="B88" s="62" t="s">
        <v>131</v>
      </c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3" t="s">
        <v>132</v>
      </c>
      <c r="R88" s="63"/>
      <c r="S88" s="63"/>
      <c r="T88" s="63"/>
      <c r="U88" s="63"/>
      <c r="V88" s="62" t="s">
        <v>133</v>
      </c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4"/>
    </row>
    <row r="89" spans="1:34" s="3" customFormat="1" ht="15" customHeight="1">
      <c r="A89" s="28" t="s">
        <v>134</v>
      </c>
      <c r="B89" s="29"/>
      <c r="C89" s="29"/>
      <c r="D89" s="29"/>
      <c r="E89" s="29"/>
      <c r="F89" s="29"/>
      <c r="G89" s="29"/>
      <c r="H89" s="65" t="s">
        <v>135</v>
      </c>
      <c r="I89" s="65"/>
      <c r="J89" s="65"/>
      <c r="K89" s="65"/>
      <c r="L89" s="65"/>
      <c r="M89" s="65"/>
      <c r="N89" s="65"/>
      <c r="O89" s="65"/>
      <c r="P89" s="65"/>
      <c r="Q89" s="66" t="s">
        <v>136</v>
      </c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7">
        <f>AD83</f>
        <v>0</v>
      </c>
      <c r="AE89" s="65"/>
      <c r="AF89" s="65"/>
      <c r="AG89" s="65"/>
      <c r="AH89" s="68"/>
    </row>
    <row r="90" spans="1:34" s="3" customFormat="1" ht="15" customHeight="1">
      <c r="A90" s="17" t="s">
        <v>137</v>
      </c>
      <c r="B90" s="50">
        <f>[3]!SPELLNUMBER(ROUND(AD83,0))</f>
        <v>0</v>
      </c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7" t="s">
        <v>138</v>
      </c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30"/>
    </row>
    <row r="91" spans="1:34" s="3" customFormat="1" ht="15" customHeight="1">
      <c r="A91" s="17" t="s">
        <v>139</v>
      </c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30"/>
    </row>
    <row r="92" spans="1:34" s="3" customFormat="1" ht="15" customHeight="1">
      <c r="A92" s="24" t="s">
        <v>140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2"/>
    </row>
    <row r="93" spans="1:34" s="3" customFormat="1" ht="15" customHeight="1">
      <c r="A93" s="51" t="s">
        <v>141</v>
      </c>
      <c r="B93" s="52"/>
      <c r="C93" s="52"/>
      <c r="D93" s="53"/>
      <c r="E93" s="54" t="s">
        <v>142</v>
      </c>
      <c r="F93" s="55"/>
      <c r="G93" s="55"/>
      <c r="H93" s="55"/>
      <c r="I93" s="55"/>
      <c r="J93" s="55"/>
      <c r="K93" s="55"/>
      <c r="L93" s="56"/>
      <c r="M93" s="57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15"/>
      <c r="AB93" s="15"/>
      <c r="AC93" s="15"/>
      <c r="AD93" s="15"/>
      <c r="AE93" s="15"/>
      <c r="AF93" s="15"/>
      <c r="AG93" s="15"/>
      <c r="AH93" s="16"/>
    </row>
    <row r="94" spans="1:34" s="3" customFormat="1" ht="15" customHeight="1">
      <c r="A94" s="43" t="s">
        <v>143</v>
      </c>
      <c r="B94" s="43"/>
      <c r="C94" s="43"/>
      <c r="D94" s="43"/>
      <c r="E94" s="54" t="s">
        <v>144</v>
      </c>
      <c r="F94" s="55"/>
      <c r="G94" s="55"/>
      <c r="H94" s="55"/>
      <c r="I94" s="55"/>
      <c r="J94" s="55"/>
      <c r="K94" s="55"/>
      <c r="L94" s="56"/>
      <c r="M94" s="59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7"/>
      <c r="AB94" s="7"/>
      <c r="AC94" s="7"/>
      <c r="AD94" s="7"/>
      <c r="AE94" s="7"/>
      <c r="AF94" s="7"/>
      <c r="AG94" s="7"/>
      <c r="AH94" s="30"/>
    </row>
    <row r="95" spans="1:34" s="3" customFormat="1" ht="15" customHeight="1">
      <c r="A95" s="43" t="s">
        <v>145</v>
      </c>
      <c r="B95" s="43"/>
      <c r="C95" s="43"/>
      <c r="D95" s="43"/>
      <c r="E95" s="44" t="s">
        <v>146</v>
      </c>
      <c r="F95" s="45"/>
      <c r="G95" s="45"/>
      <c r="H95" s="45"/>
      <c r="I95" s="45"/>
      <c r="J95" s="45"/>
      <c r="K95" s="45"/>
      <c r="L95" s="46"/>
      <c r="M95" s="47" t="s">
        <v>147</v>
      </c>
      <c r="N95" s="47"/>
      <c r="O95" s="47"/>
      <c r="P95" s="47"/>
      <c r="Q95" s="48" t="s">
        <v>131</v>
      </c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</row>
    <row r="96" spans="1:34" s="3" customFormat="1" ht="36.75" customHeight="1">
      <c r="A96" s="31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</row>
    <row r="97" spans="1:67" s="3" customFormat="1" ht="15" customHeight="1">
      <c r="A97" s="33" t="s">
        <v>148</v>
      </c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</row>
    <row r="98" spans="1:67" s="3" customFormat="1" ht="20.100000000000001" customHeight="1">
      <c r="A98" s="34" t="s">
        <v>55</v>
      </c>
      <c r="B98" s="49" t="s">
        <v>149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</row>
    <row r="99" spans="1:67" s="3" customFormat="1" ht="20.100000000000001" customHeight="1">
      <c r="A99" s="34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</row>
    <row r="100" spans="1:67" s="3" customFormat="1" ht="27.95" customHeight="1">
      <c r="A100" s="34" t="s">
        <v>65</v>
      </c>
      <c r="B100" s="49" t="s">
        <v>150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</row>
    <row r="101" spans="1:67" s="3" customFormat="1" ht="15" customHeight="1">
      <c r="A101" s="33" t="s">
        <v>69</v>
      </c>
      <c r="B101" s="35" t="s">
        <v>151</v>
      </c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</row>
    <row r="102" spans="1:67" s="3" customFormat="1" ht="15" customHeight="1">
      <c r="A102" s="33" t="s">
        <v>71</v>
      </c>
      <c r="B102" s="35" t="s">
        <v>152</v>
      </c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</row>
    <row r="103" spans="1:67" s="3" customFormat="1" ht="15" customHeight="1">
      <c r="A103" s="33"/>
      <c r="B103" s="35" t="s">
        <v>153</v>
      </c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</row>
    <row r="104" spans="1:67" s="3" customFormat="1" ht="15" customHeight="1">
      <c r="A104" s="33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</row>
    <row r="105" spans="1:67" s="3" customFormat="1" ht="15" customHeight="1">
      <c r="A105" s="31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</row>
    <row r="106" spans="1:67" s="3" customFormat="1" ht="15" customHeight="1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</row>
    <row r="107" spans="1:67" s="3" customFormat="1" ht="15" customHeight="1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</row>
    <row r="108" spans="1:67" s="3" customFormat="1" ht="15" customHeight="1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</row>
    <row r="109" spans="1:67" s="3" customFormat="1" ht="15" customHeight="1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</row>
    <row r="110" spans="1:67" s="3" customFormat="1" ht="15" customHeight="1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</row>
    <row r="111" spans="1:67" s="3" customFormat="1" ht="15" customHeight="1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</row>
    <row r="112" spans="1:67" s="3" customFormat="1" ht="15" customHeight="1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</row>
    <row r="113" spans="1:67" s="3" customFormat="1" ht="15" customHeight="1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</row>
    <row r="114" spans="1:67" s="3" customFormat="1" ht="15" customHeight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</row>
    <row r="115" spans="1:67" s="3" customFormat="1" ht="15" customHeight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</row>
    <row r="116" spans="1:67" s="3" customFormat="1" ht="15" customHeight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</row>
    <row r="117" spans="1:67" s="3" customFormat="1" ht="15" customHeight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</row>
    <row r="118" spans="1:67" s="3" customFormat="1" ht="15" customHeight="1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</row>
    <row r="119" spans="1:67" s="3" customFormat="1" ht="15" customHeight="1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</row>
    <row r="120" spans="1:67" s="3" customFormat="1" ht="15" customHeight="1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</row>
    <row r="121" spans="1:67" s="3" customFormat="1" ht="15" customHeight="1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</row>
    <row r="122" spans="1:67" s="3" customFormat="1" ht="15" customHeight="1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</row>
    <row r="123" spans="1:67" s="3" customFormat="1" ht="15" customHeight="1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</row>
    <row r="124" spans="1:67" s="3" customFormat="1" ht="15" customHeight="1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</row>
    <row r="125" spans="1:67" s="3" customFormat="1" ht="15" customHeight="1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</row>
    <row r="126" spans="1:67" s="3" customFormat="1" ht="15" customHeight="1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</row>
    <row r="127" spans="1:67" s="3" customFormat="1" ht="15" customHeight="1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</row>
    <row r="128" spans="1:67" s="3" customFormat="1" ht="15" customHeight="1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</row>
    <row r="129" spans="1:67" s="3" customFormat="1" ht="15" customHeight="1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</row>
    <row r="130" spans="1:67" s="3" customFormat="1" ht="15" customHeight="1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</row>
    <row r="131" spans="1:67" s="3" customFormat="1" ht="15" customHeight="1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</row>
    <row r="132" spans="1:67" s="3" customFormat="1" ht="15" customHeight="1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</row>
    <row r="133" spans="1:67" s="3" customFormat="1" ht="15" customHeight="1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</row>
    <row r="134" spans="1:67" s="3" customFormat="1" ht="15" customHeight="1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</row>
    <row r="135" spans="1:67" s="3" customFormat="1" ht="15" customHeight="1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</row>
    <row r="136" spans="1:67" s="3" customFormat="1" ht="15" customHeight="1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</row>
    <row r="137" spans="1:67" s="3" customFormat="1" ht="15" customHeight="1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</row>
    <row r="138" spans="1:67" s="3" customFormat="1" ht="15" customHeight="1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</row>
    <row r="139" spans="1:67" s="3" customFormat="1" ht="15" customHeight="1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</row>
    <row r="140" spans="1:67" s="3" customFormat="1" ht="15" customHeight="1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</row>
    <row r="141" spans="1:67" s="3" customFormat="1" ht="15" customHeight="1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</row>
    <row r="142" spans="1:67" s="3" customFormat="1" ht="15" customHeight="1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</row>
    <row r="143" spans="1:67" s="3" customFormat="1" ht="15" customHeight="1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</row>
    <row r="144" spans="1:67" s="3" customFormat="1" ht="15" customHeight="1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</row>
    <row r="145" spans="1:67" s="3" customFormat="1" ht="15" customHeight="1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</row>
    <row r="146" spans="1:67" s="3" customFormat="1" ht="15" customHeight="1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</row>
    <row r="147" spans="1:67" s="3" customFormat="1" ht="15" customHeight="1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</row>
    <row r="148" spans="1:67" s="3" customFormat="1" ht="15" customHeight="1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</row>
    <row r="149" spans="1:67" s="3" customFormat="1" ht="15" customHeight="1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</row>
    <row r="150" spans="1:67" s="3" customFormat="1" ht="15" customHeight="1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</row>
    <row r="151" spans="1:67" s="3" customFormat="1" ht="15" customHeight="1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</row>
    <row r="152" spans="1:67" s="3" customFormat="1" ht="15" customHeight="1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</row>
    <row r="153" spans="1:67" s="3" customFormat="1" ht="15" customHeight="1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</row>
    <row r="154" spans="1:67" s="3" customFormat="1" ht="15" customHeight="1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</row>
    <row r="155" spans="1:67" s="3" customFormat="1" ht="15" customHeight="1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</row>
    <row r="156" spans="1:67" s="3" customFormat="1" ht="15" customHeight="1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</row>
    <row r="157" spans="1:67" s="3" customFormat="1" ht="15" customHeight="1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</row>
    <row r="158" spans="1:67" s="3" customFormat="1" ht="15" customHeight="1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</row>
    <row r="159" spans="1:67" s="3" customFormat="1" ht="15" customHeight="1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</row>
    <row r="160" spans="1:67" s="3" customFormat="1" ht="15" customHeight="1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</row>
    <row r="161" spans="1:67" s="3" customFormat="1" ht="15" customHeight="1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</row>
    <row r="162" spans="1:67" s="3" customFormat="1" ht="15" customHeight="1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</row>
    <row r="163" spans="1:67" s="3" customFormat="1" ht="15" customHeight="1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</row>
    <row r="164" spans="1:67" s="3" customFormat="1" ht="15" customHeight="1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</row>
    <row r="165" spans="1:67" s="3" customFormat="1" ht="15" customHeight="1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</row>
    <row r="166" spans="1:67" s="3" customFormat="1" ht="15" customHeight="1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</row>
    <row r="167" spans="1:67" s="3" customFormat="1" ht="15" customHeight="1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</row>
    <row r="168" spans="1:67" s="3" customFormat="1" ht="15" customHeight="1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</row>
    <row r="169" spans="1:67" s="3" customFormat="1" ht="15" customHeight="1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</row>
    <row r="170" spans="1:67" s="3" customFormat="1" ht="15" customHeight="1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</row>
    <row r="171" spans="1:67" s="3" customFormat="1" ht="15" customHeight="1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</row>
    <row r="172" spans="1:67" s="3" customFormat="1" ht="15" customHeight="1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</row>
    <row r="173" spans="1:67" s="3" customFormat="1" ht="15" customHeight="1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</row>
    <row r="174" spans="1:67" s="3" customFormat="1" ht="15" customHeight="1">
      <c r="A174" s="37"/>
    </row>
    <row r="175" spans="1:67" s="3" customFormat="1" ht="15" customHeight="1">
      <c r="A175" s="37"/>
    </row>
    <row r="176" spans="1:67" s="3" customFormat="1" ht="15" customHeight="1">
      <c r="A176" s="37"/>
    </row>
    <row r="177" spans="1:1" s="3" customFormat="1" ht="15" customHeight="1">
      <c r="A177" s="37"/>
    </row>
    <row r="178" spans="1:1" s="3" customFormat="1" ht="15" customHeight="1">
      <c r="A178" s="37"/>
    </row>
    <row r="179" spans="1:1" s="3" customFormat="1" ht="15" customHeight="1">
      <c r="A179" s="37"/>
    </row>
    <row r="180" spans="1:1" s="3" customFormat="1" ht="15" customHeight="1">
      <c r="A180" s="37"/>
    </row>
    <row r="181" spans="1:1" s="3" customFormat="1" ht="15" customHeight="1">
      <c r="A181" s="37"/>
    </row>
    <row r="182" spans="1:1" s="3" customFormat="1" ht="15" customHeight="1">
      <c r="A182" s="37"/>
    </row>
    <row r="183" spans="1:1" s="3" customFormat="1" ht="15" customHeight="1">
      <c r="A183" s="37"/>
    </row>
    <row r="184" spans="1:1" s="3" customFormat="1" ht="15" customHeight="1">
      <c r="A184" s="37"/>
    </row>
    <row r="185" spans="1:1" s="3" customFormat="1" ht="15" customHeight="1">
      <c r="A185" s="37"/>
    </row>
    <row r="186" spans="1:1" s="3" customFormat="1" ht="15" customHeight="1">
      <c r="A186" s="37"/>
    </row>
    <row r="187" spans="1:1" s="3" customFormat="1" ht="15" customHeight="1">
      <c r="A187" s="37"/>
    </row>
    <row r="188" spans="1:1" s="3" customFormat="1" ht="15" customHeight="1">
      <c r="A188" s="37"/>
    </row>
    <row r="189" spans="1:1" s="3" customFormat="1" ht="15" customHeight="1">
      <c r="A189" s="37"/>
    </row>
    <row r="190" spans="1:1" s="3" customFormat="1" ht="15" customHeight="1">
      <c r="A190" s="37"/>
    </row>
    <row r="191" spans="1:1" s="3" customFormat="1" ht="15" customHeight="1">
      <c r="A191" s="37"/>
    </row>
    <row r="192" spans="1:1" s="3" customFormat="1" ht="15" customHeight="1">
      <c r="A192" s="37"/>
    </row>
    <row r="193" spans="1:1" s="3" customFormat="1" ht="15" customHeight="1">
      <c r="A193" s="37"/>
    </row>
    <row r="194" spans="1:1" s="3" customFormat="1" ht="15" customHeight="1">
      <c r="A194" s="37"/>
    </row>
    <row r="195" spans="1:1" s="3" customFormat="1" ht="15" customHeight="1">
      <c r="A195" s="37"/>
    </row>
    <row r="196" spans="1:1" s="3" customFormat="1" ht="15" customHeight="1">
      <c r="A196" s="37"/>
    </row>
    <row r="197" spans="1:1" s="3" customFormat="1" ht="15" customHeight="1">
      <c r="A197" s="37"/>
    </row>
    <row r="198" spans="1:1" s="3" customFormat="1" ht="15" customHeight="1">
      <c r="A198" s="37"/>
    </row>
    <row r="199" spans="1:1" s="3" customFormat="1" ht="15" customHeight="1">
      <c r="A199" s="37"/>
    </row>
    <row r="200" spans="1:1" s="3" customFormat="1" ht="15" customHeight="1">
      <c r="A200" s="37"/>
    </row>
    <row r="201" spans="1:1" s="3" customFormat="1" ht="15" customHeight="1">
      <c r="A201" s="37"/>
    </row>
    <row r="202" spans="1:1" s="3" customFormat="1" ht="15" customHeight="1">
      <c r="A202" s="37"/>
    </row>
    <row r="203" spans="1:1" s="3" customFormat="1" ht="15" customHeight="1">
      <c r="A203" s="37"/>
    </row>
    <row r="204" spans="1:1" s="3" customFormat="1" ht="15" customHeight="1">
      <c r="A204" s="37"/>
    </row>
    <row r="205" spans="1:1" s="3" customFormat="1" ht="15" customHeight="1">
      <c r="A205" s="37"/>
    </row>
    <row r="206" spans="1:1" s="3" customFormat="1" ht="15" customHeight="1">
      <c r="A206" s="37"/>
    </row>
    <row r="207" spans="1:1" s="3" customFormat="1" ht="15" customHeight="1">
      <c r="A207" s="37"/>
    </row>
    <row r="208" spans="1:1" s="3" customFormat="1" ht="15" customHeight="1">
      <c r="A208" s="37"/>
    </row>
    <row r="209" spans="1:1" s="3" customFormat="1" ht="15" customHeight="1">
      <c r="A209" s="37"/>
    </row>
    <row r="210" spans="1:1" s="3" customFormat="1" ht="15" customHeight="1">
      <c r="A210" s="37"/>
    </row>
    <row r="211" spans="1:1" s="3" customFormat="1" ht="15" customHeight="1">
      <c r="A211" s="37"/>
    </row>
    <row r="212" spans="1:1" s="3" customFormat="1" ht="15" customHeight="1">
      <c r="A212" s="37"/>
    </row>
    <row r="213" spans="1:1" s="3" customFormat="1" ht="15" customHeight="1">
      <c r="A213" s="37"/>
    </row>
    <row r="214" spans="1:1" s="3" customFormat="1" ht="15" customHeight="1">
      <c r="A214" s="37"/>
    </row>
    <row r="215" spans="1:1" s="3" customFormat="1" ht="15" customHeight="1">
      <c r="A215" s="37"/>
    </row>
    <row r="216" spans="1:1" s="3" customFormat="1" ht="15" customHeight="1">
      <c r="A216" s="37"/>
    </row>
    <row r="217" spans="1:1" s="3" customFormat="1" ht="15" customHeight="1">
      <c r="A217" s="37"/>
    </row>
    <row r="218" spans="1:1" s="3" customFormat="1" ht="15" customHeight="1">
      <c r="A218" s="37"/>
    </row>
    <row r="219" spans="1:1" s="3" customFormat="1" ht="15" customHeight="1">
      <c r="A219" s="37"/>
    </row>
    <row r="220" spans="1:1" s="3" customFormat="1" ht="15" customHeight="1">
      <c r="A220" s="37"/>
    </row>
    <row r="221" spans="1:1" s="3" customFormat="1" ht="15" customHeight="1">
      <c r="A221" s="37"/>
    </row>
    <row r="222" spans="1:1" s="3" customFormat="1" ht="15" customHeight="1">
      <c r="A222" s="37"/>
    </row>
    <row r="223" spans="1:1" s="3" customFormat="1" ht="15" customHeight="1">
      <c r="A223" s="37"/>
    </row>
    <row r="224" spans="1:1" s="3" customFormat="1" ht="15" customHeight="1">
      <c r="A224" s="37"/>
    </row>
    <row r="225" spans="1:1" s="3" customFormat="1" ht="15" customHeight="1">
      <c r="A225" s="37"/>
    </row>
    <row r="226" spans="1:1" s="3" customFormat="1" ht="15" customHeight="1">
      <c r="A226" s="37"/>
    </row>
    <row r="227" spans="1:1" s="3" customFormat="1" ht="15" customHeight="1">
      <c r="A227" s="37"/>
    </row>
    <row r="228" spans="1:1" s="3" customFormat="1" ht="15" customHeight="1">
      <c r="A228" s="37"/>
    </row>
    <row r="229" spans="1:1" s="3" customFormat="1" ht="15" customHeight="1">
      <c r="A229" s="37"/>
    </row>
    <row r="230" spans="1:1" s="3" customFormat="1" ht="15" customHeight="1">
      <c r="A230" s="37"/>
    </row>
    <row r="231" spans="1:1" s="3" customFormat="1" ht="15" customHeight="1">
      <c r="A231" s="37"/>
    </row>
    <row r="232" spans="1:1" s="3" customFormat="1" ht="15" customHeight="1">
      <c r="A232" s="37"/>
    </row>
    <row r="233" spans="1:1" s="3" customFormat="1" ht="15" customHeight="1">
      <c r="A233" s="37"/>
    </row>
    <row r="234" spans="1:1" s="3" customFormat="1" ht="15" customHeight="1">
      <c r="A234" s="37"/>
    </row>
    <row r="235" spans="1:1" s="3" customFormat="1" ht="15" customHeight="1">
      <c r="A235" s="37"/>
    </row>
    <row r="236" spans="1:1" s="3" customFormat="1" ht="15" customHeight="1">
      <c r="A236" s="37"/>
    </row>
    <row r="237" spans="1:1" s="3" customFormat="1" ht="15" customHeight="1">
      <c r="A237" s="37"/>
    </row>
    <row r="238" spans="1:1" s="3" customFormat="1" ht="15" customHeight="1">
      <c r="A238" s="37"/>
    </row>
    <row r="239" spans="1:1" s="3" customFormat="1" ht="15" customHeight="1">
      <c r="A239" s="37"/>
    </row>
    <row r="240" spans="1:1" s="3" customFormat="1" ht="15" customHeight="1">
      <c r="A240" s="37"/>
    </row>
    <row r="241" spans="1:1" s="3" customFormat="1" ht="15" customHeight="1">
      <c r="A241" s="37"/>
    </row>
    <row r="242" spans="1:1" s="3" customFormat="1" ht="15" customHeight="1">
      <c r="A242" s="37"/>
    </row>
    <row r="243" spans="1:1" s="3" customFormat="1" ht="15" customHeight="1">
      <c r="A243" s="37"/>
    </row>
    <row r="244" spans="1:1" s="3" customFormat="1" ht="15" customHeight="1">
      <c r="A244" s="37"/>
    </row>
    <row r="245" spans="1:1" s="3" customFormat="1" ht="15" customHeight="1">
      <c r="A245" s="37"/>
    </row>
    <row r="246" spans="1:1" s="3" customFormat="1" ht="15" customHeight="1">
      <c r="A246" s="37"/>
    </row>
    <row r="247" spans="1:1" s="3" customFormat="1" ht="15" customHeight="1">
      <c r="A247" s="37"/>
    </row>
    <row r="248" spans="1:1" s="3" customFormat="1" ht="15" customHeight="1">
      <c r="A248" s="37"/>
    </row>
    <row r="249" spans="1:1" s="3" customFormat="1" ht="15" customHeight="1">
      <c r="A249" s="37"/>
    </row>
    <row r="250" spans="1:1" s="3" customFormat="1" ht="15" customHeight="1">
      <c r="A250" s="37"/>
    </row>
    <row r="251" spans="1:1" s="3" customFormat="1" ht="15" customHeight="1">
      <c r="A251" s="37"/>
    </row>
    <row r="252" spans="1:1" s="3" customFormat="1" ht="15" customHeight="1">
      <c r="A252" s="37"/>
    </row>
    <row r="253" spans="1:1" s="3" customFormat="1" ht="15" customHeight="1">
      <c r="A253" s="37"/>
    </row>
    <row r="254" spans="1:1" s="3" customFormat="1" ht="15" customHeight="1">
      <c r="A254" s="37"/>
    </row>
    <row r="255" spans="1:1" s="3" customFormat="1" ht="15" customHeight="1">
      <c r="A255" s="37"/>
    </row>
    <row r="256" spans="1:1" s="3" customFormat="1" ht="15" customHeight="1">
      <c r="A256" s="37"/>
    </row>
    <row r="257" spans="1:1" s="3" customFormat="1" ht="15" customHeight="1">
      <c r="A257" s="37"/>
    </row>
    <row r="258" spans="1:1" s="3" customFormat="1" ht="15" customHeight="1">
      <c r="A258" s="37"/>
    </row>
    <row r="259" spans="1:1" s="3" customFormat="1" ht="14.1" customHeight="1">
      <c r="A259" s="37"/>
    </row>
    <row r="260" spans="1:1" s="3" customFormat="1" ht="14.1" customHeight="1">
      <c r="A260" s="37"/>
    </row>
    <row r="261" spans="1:1" s="3" customFormat="1" ht="14.1" customHeight="1">
      <c r="A261" s="37"/>
    </row>
    <row r="262" spans="1:1" s="3" customFormat="1" ht="14.1" customHeight="1">
      <c r="A262" s="37"/>
    </row>
    <row r="263" spans="1:1" s="3" customFormat="1" ht="14.1" customHeight="1">
      <c r="A263" s="37"/>
    </row>
    <row r="264" spans="1:1" s="3" customFormat="1" ht="14.1" customHeight="1">
      <c r="A264" s="37"/>
    </row>
    <row r="265" spans="1:1" s="3" customFormat="1" ht="14.1" customHeight="1">
      <c r="A265" s="37"/>
    </row>
    <row r="266" spans="1:1" s="3" customFormat="1" ht="14.1" customHeight="1">
      <c r="A266" s="37"/>
    </row>
    <row r="267" spans="1:1" s="3" customFormat="1" ht="14.1" customHeight="1">
      <c r="A267" s="37"/>
    </row>
    <row r="268" spans="1:1" s="3" customFormat="1" ht="14.1" customHeight="1">
      <c r="A268" s="37"/>
    </row>
    <row r="269" spans="1:1" s="3" customFormat="1" ht="14.1" customHeight="1">
      <c r="A269" s="37"/>
    </row>
    <row r="270" spans="1:1" s="3" customFormat="1" ht="14.1" customHeight="1">
      <c r="A270" s="37"/>
    </row>
    <row r="271" spans="1:1" s="3" customFormat="1" ht="14.1" customHeight="1">
      <c r="A271" s="37"/>
    </row>
    <row r="272" spans="1:1" s="3" customFormat="1" ht="14.1" customHeight="1">
      <c r="A272" s="37"/>
    </row>
    <row r="273" spans="1:1" s="3" customFormat="1" ht="14.1" customHeight="1">
      <c r="A273" s="37"/>
    </row>
    <row r="274" spans="1:1" s="3" customFormat="1" ht="14.1" customHeight="1">
      <c r="A274" s="37"/>
    </row>
    <row r="275" spans="1:1" s="3" customFormat="1" ht="14.1" customHeight="1">
      <c r="A275" s="37"/>
    </row>
    <row r="276" spans="1:1" s="3" customFormat="1" ht="14.1" customHeight="1">
      <c r="A276" s="37"/>
    </row>
    <row r="277" spans="1:1" s="3" customFormat="1" ht="14.1" customHeight="1">
      <c r="A277" s="37"/>
    </row>
    <row r="278" spans="1:1" s="3" customFormat="1" ht="14.1" customHeight="1">
      <c r="A278" s="37"/>
    </row>
    <row r="279" spans="1:1" s="3" customFormat="1" ht="14.1" customHeight="1">
      <c r="A279" s="37"/>
    </row>
    <row r="280" spans="1:1" s="3" customFormat="1" ht="14.1" customHeight="1">
      <c r="A280" s="37"/>
    </row>
    <row r="281" spans="1:1" s="3" customFormat="1" ht="14.1" customHeight="1">
      <c r="A281" s="37"/>
    </row>
    <row r="282" spans="1:1" s="3" customFormat="1" ht="14.1" customHeight="1">
      <c r="A282" s="37"/>
    </row>
    <row r="283" spans="1:1" s="3" customFormat="1" ht="14.1" customHeight="1">
      <c r="A283" s="37"/>
    </row>
    <row r="284" spans="1:1" s="3" customFormat="1" ht="14.1" customHeight="1">
      <c r="A284" s="37"/>
    </row>
    <row r="285" spans="1:1" s="3" customFormat="1" ht="14.1" customHeight="1">
      <c r="A285" s="37"/>
    </row>
    <row r="286" spans="1:1" s="3" customFormat="1" ht="14.1" customHeight="1">
      <c r="A286" s="37"/>
    </row>
    <row r="287" spans="1:1" s="3" customFormat="1" ht="14.1" customHeight="1">
      <c r="A287" s="37"/>
    </row>
    <row r="288" spans="1:1" s="3" customFormat="1" ht="14.1" customHeight="1">
      <c r="A288" s="37"/>
    </row>
    <row r="289" spans="1:1" s="3" customFormat="1" ht="14.1" customHeight="1">
      <c r="A289" s="37"/>
    </row>
    <row r="290" spans="1:1" s="3" customFormat="1" ht="14.1" customHeight="1">
      <c r="A290" s="37"/>
    </row>
    <row r="291" spans="1:1" s="3" customFormat="1" ht="14.1" customHeight="1">
      <c r="A291" s="37"/>
    </row>
    <row r="292" spans="1:1" s="3" customFormat="1" ht="14.1" customHeight="1">
      <c r="A292" s="37"/>
    </row>
    <row r="293" spans="1:1" s="3" customFormat="1" ht="14.1" customHeight="1">
      <c r="A293" s="37"/>
    </row>
    <row r="294" spans="1:1" s="3" customFormat="1" ht="14.1" customHeight="1">
      <c r="A294" s="37"/>
    </row>
    <row r="295" spans="1:1" s="3" customFormat="1" ht="14.1" customHeight="1">
      <c r="A295" s="37"/>
    </row>
    <row r="296" spans="1:1" s="3" customFormat="1">
      <c r="A296" s="37"/>
    </row>
    <row r="297" spans="1:1" s="3" customFormat="1">
      <c r="A297" s="37"/>
    </row>
    <row r="298" spans="1:1" s="3" customFormat="1">
      <c r="A298" s="37"/>
    </row>
    <row r="299" spans="1:1" s="3" customFormat="1">
      <c r="A299" s="37"/>
    </row>
    <row r="300" spans="1:1" s="3" customFormat="1">
      <c r="A300" s="37"/>
    </row>
    <row r="301" spans="1:1" s="3" customFormat="1">
      <c r="A301" s="37"/>
    </row>
    <row r="302" spans="1:1" s="3" customFormat="1">
      <c r="A302" s="37"/>
    </row>
  </sheetData>
  <sheetProtection formatCells="0" formatRows="0" insertRows="0" selectLockedCells="1"/>
  <mergeCells count="319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K78:M78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I94"/>
  <sheetViews>
    <sheetView workbookViewId="0">
      <pane ySplit="1" topLeftCell="A44" activePane="bottomLeft" state="frozen"/>
      <selection pane="bottomLeft" activeCell="C44" sqref="C44:K44"/>
    </sheetView>
  </sheetViews>
  <sheetFormatPr defaultRowHeight="15"/>
  <cols>
    <col min="1" max="1" width="25.28515625" bestFit="1" customWidth="1"/>
    <col min="2" max="2" width="13.42578125" bestFit="1" customWidth="1"/>
    <col min="3" max="3" width="7" bestFit="1" customWidth="1"/>
    <col min="4" max="4" width="7.140625" bestFit="1" customWidth="1"/>
    <col min="5" max="5" width="7.5703125" bestFit="1" customWidth="1"/>
    <col min="6" max="10" width="6" bestFit="1" customWidth="1"/>
    <col min="11" max="11" width="4.28515625" bestFit="1" customWidth="1"/>
    <col min="13" max="13" width="7.85546875" bestFit="1" customWidth="1"/>
    <col min="14" max="14" width="13.140625" bestFit="1" customWidth="1"/>
    <col min="15" max="16" width="6" bestFit="1" customWidth="1"/>
    <col min="17" max="17" width="5.5703125" bestFit="1" customWidth="1"/>
    <col min="18" max="18" width="5.85546875" bestFit="1" customWidth="1"/>
    <col min="19" max="19" width="6" bestFit="1" customWidth="1"/>
    <col min="20" max="20" width="4" bestFit="1" customWidth="1"/>
    <col min="21" max="21" width="7" bestFit="1" customWidth="1"/>
    <col min="22" max="22" width="6" bestFit="1" customWidth="1"/>
    <col min="23" max="23" width="7" bestFit="1" customWidth="1"/>
    <col min="24" max="24" width="9.42578125" bestFit="1" customWidth="1"/>
    <col min="25" max="26" width="6" bestFit="1" customWidth="1"/>
    <col min="27" max="27" width="4.5703125" bestFit="1" customWidth="1"/>
    <col min="28" max="28" width="6" bestFit="1" customWidth="1"/>
    <col min="29" max="29" width="13.28515625" bestFit="1" customWidth="1"/>
    <col min="30" max="30" width="7" bestFit="1" customWidth="1"/>
    <col min="31" max="31" width="7.85546875" bestFit="1" customWidth="1"/>
    <col min="32" max="32" width="8.85546875" bestFit="1" customWidth="1"/>
    <col min="33" max="33" width="9.5703125" bestFit="1" customWidth="1"/>
    <col min="34" max="34" width="9.5703125" customWidth="1"/>
    <col min="35" max="35" width="11.42578125" bestFit="1" customWidth="1"/>
  </cols>
  <sheetData>
    <row r="1" spans="1:35" s="1" customFormat="1">
      <c r="A1" s="1" t="s">
        <v>0</v>
      </c>
      <c r="B1" s="1" t="s">
        <v>1</v>
      </c>
      <c r="C1" s="1" t="s">
        <v>250</v>
      </c>
      <c r="D1" s="1" t="s">
        <v>251</v>
      </c>
      <c r="E1" s="1" t="s">
        <v>252</v>
      </c>
      <c r="F1" s="1" t="s">
        <v>253</v>
      </c>
      <c r="G1" s="1" t="s">
        <v>4</v>
      </c>
      <c r="H1" s="1" t="s">
        <v>254</v>
      </c>
      <c r="I1" s="1" t="s">
        <v>3</v>
      </c>
      <c r="J1" s="1" t="s">
        <v>2</v>
      </c>
      <c r="K1" s="1" t="s">
        <v>255</v>
      </c>
      <c r="L1" s="1" t="s">
        <v>353</v>
      </c>
      <c r="M1" s="1" t="s">
        <v>5</v>
      </c>
      <c r="N1" s="1" t="s">
        <v>256</v>
      </c>
      <c r="O1" s="1" t="s">
        <v>257</v>
      </c>
      <c r="P1" s="1" t="s">
        <v>258</v>
      </c>
      <c r="Q1" s="1" t="s">
        <v>9</v>
      </c>
      <c r="R1" s="1" t="s">
        <v>8</v>
      </c>
      <c r="S1" s="1" t="s">
        <v>10</v>
      </c>
      <c r="T1" s="1" t="s">
        <v>259</v>
      </c>
      <c r="U1" s="2" t="s">
        <v>6</v>
      </c>
      <c r="V1" s="1" t="s">
        <v>11</v>
      </c>
      <c r="W1" s="1" t="s">
        <v>12</v>
      </c>
      <c r="X1" s="1" t="s">
        <v>13</v>
      </c>
      <c r="Y1" s="1" t="s">
        <v>14</v>
      </c>
      <c r="Z1" s="1" t="s">
        <v>15</v>
      </c>
      <c r="AA1" s="1" t="s">
        <v>16</v>
      </c>
      <c r="AB1" s="1" t="s">
        <v>17</v>
      </c>
      <c r="AC1" s="1" t="s">
        <v>18</v>
      </c>
      <c r="AD1" s="1" t="s">
        <v>19</v>
      </c>
      <c r="AE1" s="1" t="s">
        <v>20</v>
      </c>
      <c r="AF1" s="1" t="s">
        <v>21</v>
      </c>
      <c r="AG1" s="1" t="s">
        <v>22</v>
      </c>
      <c r="AH1" s="1" t="s">
        <v>354</v>
      </c>
      <c r="AI1" s="1" t="s">
        <v>23</v>
      </c>
    </row>
    <row r="2" spans="1:35">
      <c r="A2" s="41" t="s">
        <v>157</v>
      </c>
      <c r="B2" t="s">
        <v>260</v>
      </c>
      <c r="C2">
        <v>275349</v>
      </c>
      <c r="D2">
        <v>5837</v>
      </c>
      <c r="E2">
        <v>0</v>
      </c>
      <c r="F2">
        <v>0</v>
      </c>
      <c r="G2">
        <v>13200</v>
      </c>
      <c r="H2">
        <v>3544</v>
      </c>
      <c r="I2">
        <v>52668</v>
      </c>
      <c r="J2">
        <v>12420</v>
      </c>
      <c r="K2">
        <v>0</v>
      </c>
      <c r="L2">
        <v>0</v>
      </c>
      <c r="M2">
        <v>363018</v>
      </c>
      <c r="N2">
        <v>360</v>
      </c>
      <c r="O2">
        <v>26086</v>
      </c>
      <c r="P2">
        <v>12252</v>
      </c>
      <c r="Q2">
        <v>1720</v>
      </c>
      <c r="R2">
        <v>0</v>
      </c>
      <c r="S2">
        <v>220</v>
      </c>
      <c r="T2">
        <v>7</v>
      </c>
      <c r="AH2">
        <v>0</v>
      </c>
    </row>
    <row r="3" spans="1:35">
      <c r="A3" s="38" t="s">
        <v>158</v>
      </c>
      <c r="B3" t="s">
        <v>261</v>
      </c>
      <c r="C3">
        <v>466908</v>
      </c>
      <c r="D3">
        <v>0</v>
      </c>
      <c r="E3">
        <v>0</v>
      </c>
      <c r="F3">
        <v>0</v>
      </c>
      <c r="G3">
        <v>35200</v>
      </c>
      <c r="H3">
        <v>9440</v>
      </c>
      <c r="I3">
        <v>91500</v>
      </c>
      <c r="J3">
        <v>23000</v>
      </c>
      <c r="K3">
        <v>0</v>
      </c>
      <c r="L3">
        <v>0</v>
      </c>
      <c r="M3">
        <v>626048</v>
      </c>
      <c r="N3">
        <v>720</v>
      </c>
      <c r="O3">
        <v>48302</v>
      </c>
      <c r="P3">
        <v>0</v>
      </c>
      <c r="Q3">
        <v>2400</v>
      </c>
      <c r="R3">
        <v>5175</v>
      </c>
      <c r="S3">
        <v>12450</v>
      </c>
      <c r="T3">
        <v>359</v>
      </c>
      <c r="V3">
        <v>34720</v>
      </c>
      <c r="W3">
        <v>500</v>
      </c>
      <c r="AH3">
        <v>0</v>
      </c>
      <c r="AI3">
        <v>16219</v>
      </c>
    </row>
    <row r="4" spans="1:35">
      <c r="A4" s="39" t="s">
        <v>159</v>
      </c>
      <c r="B4" t="s">
        <v>262</v>
      </c>
      <c r="C4">
        <v>443165</v>
      </c>
      <c r="D4">
        <v>0</v>
      </c>
      <c r="E4">
        <v>0</v>
      </c>
      <c r="F4">
        <v>240</v>
      </c>
      <c r="G4">
        <v>35200</v>
      </c>
      <c r="H4">
        <v>9440</v>
      </c>
      <c r="I4">
        <v>87133</v>
      </c>
      <c r="J4">
        <v>21556</v>
      </c>
      <c r="K4">
        <v>0</v>
      </c>
      <c r="L4">
        <v>112</v>
      </c>
      <c r="M4">
        <v>596622</v>
      </c>
      <c r="N4">
        <v>420</v>
      </c>
      <c r="O4">
        <v>45708</v>
      </c>
      <c r="P4">
        <v>0</v>
      </c>
      <c r="Q4">
        <v>2400</v>
      </c>
      <c r="R4">
        <v>0</v>
      </c>
      <c r="S4">
        <v>18280</v>
      </c>
      <c r="T4">
        <v>548</v>
      </c>
      <c r="AH4">
        <v>0</v>
      </c>
    </row>
    <row r="5" spans="1:35">
      <c r="A5" s="38" t="s">
        <v>160</v>
      </c>
      <c r="B5" t="s">
        <v>263</v>
      </c>
      <c r="C5">
        <v>466908</v>
      </c>
      <c r="D5">
        <v>13545</v>
      </c>
      <c r="E5">
        <v>13200</v>
      </c>
      <c r="F5">
        <v>0</v>
      </c>
      <c r="G5">
        <v>35200</v>
      </c>
      <c r="H5">
        <v>9440</v>
      </c>
      <c r="I5">
        <v>91500</v>
      </c>
      <c r="J5">
        <v>23000</v>
      </c>
      <c r="K5">
        <v>0</v>
      </c>
      <c r="L5">
        <v>0</v>
      </c>
      <c r="M5">
        <v>652793</v>
      </c>
      <c r="N5">
        <v>720</v>
      </c>
      <c r="O5">
        <v>48302</v>
      </c>
      <c r="P5">
        <v>0</v>
      </c>
      <c r="Q5">
        <v>2400</v>
      </c>
      <c r="R5">
        <v>0</v>
      </c>
      <c r="S5">
        <v>10490</v>
      </c>
      <c r="T5">
        <v>315</v>
      </c>
      <c r="W5">
        <v>50000</v>
      </c>
      <c r="X5">
        <v>25000</v>
      </c>
      <c r="AD5">
        <v>30000</v>
      </c>
      <c r="AH5">
        <v>0</v>
      </c>
      <c r="AI5">
        <v>3822</v>
      </c>
    </row>
    <row r="6" spans="1:35">
      <c r="A6" s="39" t="s">
        <v>161</v>
      </c>
      <c r="B6" t="s">
        <v>264</v>
      </c>
      <c r="C6">
        <v>261308</v>
      </c>
      <c r="D6">
        <v>0</v>
      </c>
      <c r="E6">
        <v>0</v>
      </c>
      <c r="F6">
        <v>0</v>
      </c>
      <c r="G6">
        <v>13200</v>
      </c>
      <c r="H6">
        <v>3544</v>
      </c>
      <c r="I6">
        <v>52668</v>
      </c>
      <c r="J6">
        <v>12420</v>
      </c>
      <c r="K6">
        <v>0</v>
      </c>
      <c r="L6">
        <v>0</v>
      </c>
      <c r="M6">
        <v>343140</v>
      </c>
      <c r="N6">
        <v>360</v>
      </c>
      <c r="O6">
        <v>26086</v>
      </c>
      <c r="P6">
        <v>0</v>
      </c>
      <c r="Q6">
        <v>1720</v>
      </c>
      <c r="R6">
        <v>0</v>
      </c>
      <c r="S6">
        <v>0</v>
      </c>
      <c r="T6">
        <v>0</v>
      </c>
      <c r="AH6">
        <v>0</v>
      </c>
    </row>
    <row r="7" spans="1:35">
      <c r="A7" s="38" t="s">
        <v>162</v>
      </c>
      <c r="B7" t="s">
        <v>265</v>
      </c>
      <c r="C7">
        <v>260308</v>
      </c>
      <c r="D7">
        <v>-1200</v>
      </c>
      <c r="E7">
        <v>0</v>
      </c>
      <c r="F7">
        <v>0</v>
      </c>
      <c r="G7">
        <v>13200</v>
      </c>
      <c r="H7">
        <v>3544</v>
      </c>
      <c r="I7">
        <v>52668</v>
      </c>
      <c r="J7">
        <v>12420</v>
      </c>
      <c r="K7">
        <v>0</v>
      </c>
      <c r="L7">
        <v>0</v>
      </c>
      <c r="M7">
        <v>340940</v>
      </c>
      <c r="N7">
        <v>360</v>
      </c>
      <c r="O7">
        <v>26086</v>
      </c>
      <c r="P7">
        <v>0</v>
      </c>
      <c r="Q7">
        <v>1720</v>
      </c>
      <c r="R7">
        <v>0</v>
      </c>
      <c r="S7">
        <v>0</v>
      </c>
      <c r="T7">
        <v>0</v>
      </c>
      <c r="AH7">
        <v>0</v>
      </c>
    </row>
    <row r="8" spans="1:35">
      <c r="A8" s="39" t="s">
        <v>163</v>
      </c>
      <c r="B8" t="s">
        <v>266</v>
      </c>
      <c r="C8">
        <v>260308</v>
      </c>
      <c r="D8">
        <v>7037</v>
      </c>
      <c r="E8">
        <v>0</v>
      </c>
      <c r="F8">
        <v>0</v>
      </c>
      <c r="G8">
        <v>13200</v>
      </c>
      <c r="H8">
        <v>3544</v>
      </c>
      <c r="I8">
        <v>52668</v>
      </c>
      <c r="J8">
        <v>12420</v>
      </c>
      <c r="K8">
        <v>0</v>
      </c>
      <c r="L8">
        <v>0</v>
      </c>
      <c r="M8">
        <v>349177</v>
      </c>
      <c r="N8">
        <v>360</v>
      </c>
      <c r="O8">
        <v>26086</v>
      </c>
      <c r="P8">
        <v>0</v>
      </c>
      <c r="Q8">
        <v>1720</v>
      </c>
      <c r="R8">
        <v>0</v>
      </c>
      <c r="S8">
        <v>0</v>
      </c>
      <c r="T8">
        <v>0</v>
      </c>
      <c r="AH8">
        <v>0</v>
      </c>
      <c r="AI8">
        <v>10851</v>
      </c>
    </row>
    <row r="9" spans="1:35">
      <c r="A9" s="38" t="s">
        <v>164</v>
      </c>
      <c r="B9" t="s">
        <v>267</v>
      </c>
      <c r="C9">
        <v>254108</v>
      </c>
      <c r="D9">
        <v>0</v>
      </c>
      <c r="E9">
        <v>0</v>
      </c>
      <c r="F9">
        <v>0</v>
      </c>
      <c r="G9">
        <v>13200</v>
      </c>
      <c r="H9">
        <v>3544</v>
      </c>
      <c r="I9">
        <v>52392</v>
      </c>
      <c r="J9">
        <v>12060</v>
      </c>
      <c r="K9">
        <v>0</v>
      </c>
      <c r="L9">
        <v>0</v>
      </c>
      <c r="M9">
        <v>335304</v>
      </c>
      <c r="N9">
        <v>360</v>
      </c>
      <c r="O9">
        <v>25328</v>
      </c>
      <c r="P9">
        <v>12252</v>
      </c>
      <c r="Q9">
        <v>1720</v>
      </c>
      <c r="R9">
        <v>1792</v>
      </c>
      <c r="S9">
        <v>0</v>
      </c>
      <c r="T9">
        <v>0</v>
      </c>
      <c r="AH9">
        <v>0</v>
      </c>
    </row>
    <row r="10" spans="1:35">
      <c r="A10" s="39" t="s">
        <v>165</v>
      </c>
      <c r="B10" t="s">
        <v>268</v>
      </c>
      <c r="C10">
        <v>260308</v>
      </c>
      <c r="D10">
        <v>0</v>
      </c>
      <c r="E10">
        <v>0</v>
      </c>
      <c r="F10">
        <v>0</v>
      </c>
      <c r="G10">
        <v>13200</v>
      </c>
      <c r="H10">
        <v>3544</v>
      </c>
      <c r="I10">
        <v>52668</v>
      </c>
      <c r="J10">
        <v>12420</v>
      </c>
      <c r="K10">
        <v>0</v>
      </c>
      <c r="L10">
        <v>0</v>
      </c>
      <c r="M10">
        <v>342140</v>
      </c>
      <c r="N10">
        <v>360</v>
      </c>
      <c r="O10">
        <v>26086</v>
      </c>
      <c r="P10">
        <v>30024</v>
      </c>
      <c r="Q10">
        <v>1720</v>
      </c>
      <c r="R10">
        <v>0</v>
      </c>
      <c r="S10">
        <v>0</v>
      </c>
      <c r="T10">
        <v>0</v>
      </c>
      <c r="AH10">
        <v>0</v>
      </c>
    </row>
    <row r="11" spans="1:35">
      <c r="A11" s="38" t="s">
        <v>166</v>
      </c>
      <c r="B11" t="s">
        <v>269</v>
      </c>
      <c r="C11">
        <v>254108</v>
      </c>
      <c r="D11">
        <v>0</v>
      </c>
      <c r="E11">
        <v>0</v>
      </c>
      <c r="F11">
        <v>0</v>
      </c>
      <c r="G11">
        <v>13200</v>
      </c>
      <c r="H11">
        <v>3544</v>
      </c>
      <c r="I11">
        <v>52392</v>
      </c>
      <c r="J11">
        <v>12060</v>
      </c>
      <c r="K11">
        <v>0</v>
      </c>
      <c r="L11">
        <v>0</v>
      </c>
      <c r="M11">
        <v>335304</v>
      </c>
      <c r="N11">
        <v>360</v>
      </c>
      <c r="O11">
        <v>25328</v>
      </c>
      <c r="P11">
        <v>0</v>
      </c>
      <c r="Q11">
        <v>1720</v>
      </c>
      <c r="R11">
        <v>0</v>
      </c>
      <c r="S11">
        <v>0</v>
      </c>
      <c r="T11">
        <v>0</v>
      </c>
      <c r="AH11">
        <v>0</v>
      </c>
    </row>
    <row r="12" spans="1:35">
      <c r="A12" s="39" t="s">
        <v>167</v>
      </c>
      <c r="B12" t="s">
        <v>270</v>
      </c>
      <c r="C12">
        <v>253108</v>
      </c>
      <c r="D12">
        <v>0</v>
      </c>
      <c r="E12">
        <v>0</v>
      </c>
      <c r="F12">
        <v>0</v>
      </c>
      <c r="G12">
        <v>13200</v>
      </c>
      <c r="H12">
        <v>3544</v>
      </c>
      <c r="I12">
        <v>52392</v>
      </c>
      <c r="J12">
        <v>12060</v>
      </c>
      <c r="K12">
        <v>0</v>
      </c>
      <c r="L12">
        <v>26425</v>
      </c>
      <c r="M12">
        <v>307879</v>
      </c>
      <c r="N12">
        <v>360</v>
      </c>
      <c r="O12">
        <v>25328</v>
      </c>
      <c r="P12">
        <v>12252</v>
      </c>
      <c r="Q12">
        <v>1720</v>
      </c>
      <c r="R12">
        <v>0</v>
      </c>
      <c r="S12">
        <v>0</v>
      </c>
      <c r="T12">
        <v>0</v>
      </c>
      <c r="AH12">
        <v>0</v>
      </c>
    </row>
    <row r="13" spans="1:35">
      <c r="A13" s="38" t="s">
        <v>168</v>
      </c>
      <c r="B13" t="s">
        <v>271</v>
      </c>
      <c r="C13">
        <v>254108</v>
      </c>
      <c r="D13">
        <v>6829</v>
      </c>
      <c r="E13">
        <v>0</v>
      </c>
      <c r="F13">
        <v>0</v>
      </c>
      <c r="G13">
        <v>13200</v>
      </c>
      <c r="H13">
        <v>3544</v>
      </c>
      <c r="I13">
        <v>52392</v>
      </c>
      <c r="J13">
        <v>12060</v>
      </c>
      <c r="K13">
        <v>0</v>
      </c>
      <c r="L13">
        <v>0</v>
      </c>
      <c r="M13">
        <v>342133</v>
      </c>
      <c r="N13">
        <v>360</v>
      </c>
      <c r="O13">
        <v>25328</v>
      </c>
      <c r="P13">
        <v>5766</v>
      </c>
      <c r="Q13">
        <v>1720</v>
      </c>
      <c r="R13">
        <v>0</v>
      </c>
      <c r="S13">
        <v>0</v>
      </c>
      <c r="T13">
        <v>0</v>
      </c>
      <c r="AH13">
        <v>0</v>
      </c>
    </row>
    <row r="14" spans="1:35">
      <c r="A14" s="39" t="s">
        <v>169</v>
      </c>
      <c r="B14" t="s">
        <v>272</v>
      </c>
      <c r="C14">
        <v>466908</v>
      </c>
      <c r="D14">
        <v>0</v>
      </c>
      <c r="E14">
        <v>0</v>
      </c>
      <c r="F14">
        <v>0</v>
      </c>
      <c r="G14">
        <v>35200</v>
      </c>
      <c r="H14">
        <v>9440</v>
      </c>
      <c r="I14">
        <v>91500</v>
      </c>
      <c r="J14">
        <v>23000</v>
      </c>
      <c r="K14">
        <v>0</v>
      </c>
      <c r="L14">
        <v>0</v>
      </c>
      <c r="M14">
        <v>626048</v>
      </c>
      <c r="N14">
        <v>720</v>
      </c>
      <c r="O14">
        <v>48302</v>
      </c>
      <c r="P14">
        <v>0</v>
      </c>
      <c r="Q14">
        <v>2400</v>
      </c>
      <c r="R14">
        <v>0</v>
      </c>
      <c r="S14">
        <v>11810</v>
      </c>
      <c r="T14">
        <v>354</v>
      </c>
      <c r="V14">
        <v>69271</v>
      </c>
      <c r="AH14">
        <v>0</v>
      </c>
    </row>
    <row r="15" spans="1:35">
      <c r="A15" s="38" t="s">
        <v>170</v>
      </c>
      <c r="B15" t="s">
        <v>273</v>
      </c>
      <c r="C15">
        <v>489808</v>
      </c>
      <c r="D15">
        <v>0</v>
      </c>
      <c r="E15">
        <v>6840</v>
      </c>
      <c r="F15">
        <v>0</v>
      </c>
      <c r="G15">
        <v>35200</v>
      </c>
      <c r="H15">
        <v>9440</v>
      </c>
      <c r="I15">
        <v>96000</v>
      </c>
      <c r="J15">
        <v>24060</v>
      </c>
      <c r="K15">
        <v>0</v>
      </c>
      <c r="L15">
        <v>0</v>
      </c>
      <c r="M15">
        <v>661348</v>
      </c>
      <c r="N15">
        <v>720</v>
      </c>
      <c r="O15">
        <v>51213</v>
      </c>
      <c r="P15">
        <v>0</v>
      </c>
      <c r="Q15">
        <v>2400</v>
      </c>
      <c r="R15">
        <v>0</v>
      </c>
      <c r="S15">
        <v>1214</v>
      </c>
      <c r="T15">
        <v>36</v>
      </c>
      <c r="U15">
        <v>146531</v>
      </c>
      <c r="V15">
        <v>41973</v>
      </c>
      <c r="W15">
        <v>10000</v>
      </c>
      <c r="Y15">
        <v>52237</v>
      </c>
      <c r="AF15">
        <v>12794</v>
      </c>
      <c r="AH15">
        <v>0</v>
      </c>
    </row>
    <row r="16" spans="1:35">
      <c r="A16" s="39" t="s">
        <v>171</v>
      </c>
      <c r="B16" t="s">
        <v>274</v>
      </c>
      <c r="C16">
        <v>466908</v>
      </c>
      <c r="D16">
        <v>0</v>
      </c>
      <c r="E16">
        <v>0</v>
      </c>
      <c r="F16">
        <v>0</v>
      </c>
      <c r="G16">
        <v>35200</v>
      </c>
      <c r="H16">
        <v>9440</v>
      </c>
      <c r="I16">
        <v>91500</v>
      </c>
      <c r="J16">
        <v>23000</v>
      </c>
      <c r="K16">
        <v>0</v>
      </c>
      <c r="L16">
        <v>0</v>
      </c>
      <c r="M16">
        <v>626048</v>
      </c>
      <c r="N16">
        <v>720</v>
      </c>
      <c r="O16">
        <v>48302</v>
      </c>
      <c r="P16">
        <v>0</v>
      </c>
      <c r="Q16">
        <v>2400</v>
      </c>
      <c r="R16">
        <v>3159</v>
      </c>
      <c r="S16">
        <v>19000</v>
      </c>
      <c r="T16">
        <v>570</v>
      </c>
      <c r="V16">
        <v>20046</v>
      </c>
      <c r="AH16">
        <v>0</v>
      </c>
    </row>
    <row r="17" spans="1:35">
      <c r="A17" s="38" t="s">
        <v>172</v>
      </c>
      <c r="B17" t="s">
        <v>275</v>
      </c>
      <c r="C17">
        <v>466908</v>
      </c>
      <c r="D17">
        <v>0</v>
      </c>
      <c r="E17">
        <v>0</v>
      </c>
      <c r="F17">
        <v>0</v>
      </c>
      <c r="G17">
        <v>35200</v>
      </c>
      <c r="H17">
        <v>9440</v>
      </c>
      <c r="I17">
        <v>91500</v>
      </c>
      <c r="J17">
        <v>23000</v>
      </c>
      <c r="K17">
        <v>0</v>
      </c>
      <c r="L17">
        <v>0</v>
      </c>
      <c r="M17">
        <v>626048</v>
      </c>
      <c r="N17">
        <v>720</v>
      </c>
      <c r="O17">
        <v>48302</v>
      </c>
      <c r="P17">
        <v>0</v>
      </c>
      <c r="Q17">
        <v>2400</v>
      </c>
      <c r="R17">
        <v>0</v>
      </c>
      <c r="S17">
        <v>6900</v>
      </c>
      <c r="T17">
        <v>207</v>
      </c>
      <c r="W17">
        <v>150000</v>
      </c>
      <c r="AH17">
        <v>0</v>
      </c>
      <c r="AI17">
        <v>18234</v>
      </c>
    </row>
    <row r="18" spans="1:35">
      <c r="A18" s="39" t="s">
        <v>173</v>
      </c>
      <c r="B18" t="s">
        <v>276</v>
      </c>
      <c r="C18">
        <v>466908</v>
      </c>
      <c r="D18">
        <v>0</v>
      </c>
      <c r="E18">
        <v>0</v>
      </c>
      <c r="F18">
        <v>0</v>
      </c>
      <c r="G18">
        <v>35200</v>
      </c>
      <c r="H18">
        <v>9440</v>
      </c>
      <c r="I18">
        <v>91500</v>
      </c>
      <c r="J18">
        <v>23000</v>
      </c>
      <c r="K18">
        <v>0</v>
      </c>
      <c r="L18">
        <v>0</v>
      </c>
      <c r="M18">
        <v>626048</v>
      </c>
      <c r="N18">
        <v>720</v>
      </c>
      <c r="O18">
        <v>48302</v>
      </c>
      <c r="P18">
        <v>0</v>
      </c>
      <c r="Q18">
        <v>2400</v>
      </c>
      <c r="R18">
        <v>0</v>
      </c>
      <c r="S18">
        <v>7580</v>
      </c>
      <c r="T18">
        <v>227</v>
      </c>
      <c r="V18">
        <v>32326</v>
      </c>
      <c r="W18">
        <v>120000</v>
      </c>
      <c r="AH18">
        <v>0</v>
      </c>
      <c r="AI18">
        <v>4667</v>
      </c>
    </row>
    <row r="19" spans="1:35">
      <c r="A19" s="38" t="s">
        <v>174</v>
      </c>
      <c r="B19" t="s">
        <v>277</v>
      </c>
      <c r="C19">
        <v>488108</v>
      </c>
      <c r="D19">
        <v>14385</v>
      </c>
      <c r="E19">
        <v>6840</v>
      </c>
      <c r="F19">
        <v>0</v>
      </c>
      <c r="G19">
        <v>35200</v>
      </c>
      <c r="H19">
        <v>9440</v>
      </c>
      <c r="I19">
        <v>96000</v>
      </c>
      <c r="J19">
        <v>24060</v>
      </c>
      <c r="K19">
        <v>0</v>
      </c>
      <c r="L19">
        <v>0</v>
      </c>
      <c r="M19">
        <v>674033</v>
      </c>
      <c r="N19">
        <v>720</v>
      </c>
      <c r="O19">
        <v>51213</v>
      </c>
      <c r="P19">
        <v>0</v>
      </c>
      <c r="Q19">
        <v>2400</v>
      </c>
      <c r="R19">
        <v>0</v>
      </c>
      <c r="S19">
        <v>31210</v>
      </c>
      <c r="T19">
        <v>936</v>
      </c>
      <c r="V19">
        <v>6957</v>
      </c>
      <c r="AH19">
        <v>0</v>
      </c>
    </row>
    <row r="20" spans="1:35">
      <c r="A20" s="39" t="s">
        <v>175</v>
      </c>
      <c r="B20" t="s">
        <v>278</v>
      </c>
      <c r="C20">
        <v>480908</v>
      </c>
      <c r="D20">
        <v>0</v>
      </c>
      <c r="E20">
        <v>0</v>
      </c>
      <c r="F20">
        <v>0</v>
      </c>
      <c r="G20">
        <v>35200</v>
      </c>
      <c r="H20">
        <v>9440</v>
      </c>
      <c r="I20">
        <v>94272</v>
      </c>
      <c r="J20">
        <v>23700</v>
      </c>
      <c r="K20">
        <v>0</v>
      </c>
      <c r="L20">
        <v>0</v>
      </c>
      <c r="M20">
        <v>643520</v>
      </c>
      <c r="N20">
        <v>720</v>
      </c>
      <c r="O20">
        <v>49774</v>
      </c>
      <c r="P20">
        <v>0</v>
      </c>
      <c r="Q20">
        <v>2400</v>
      </c>
      <c r="R20">
        <v>0</v>
      </c>
      <c r="S20">
        <v>2360</v>
      </c>
      <c r="T20">
        <v>71</v>
      </c>
      <c r="U20">
        <v>193506</v>
      </c>
      <c r="V20">
        <v>13508</v>
      </c>
      <c r="Y20">
        <v>17334</v>
      </c>
      <c r="AH20">
        <v>0</v>
      </c>
    </row>
    <row r="21" spans="1:35">
      <c r="A21" s="38" t="s">
        <v>176</v>
      </c>
      <c r="B21" t="s">
        <v>279</v>
      </c>
      <c r="C21">
        <v>364670</v>
      </c>
      <c r="D21">
        <v>-1200</v>
      </c>
      <c r="E21">
        <v>0</v>
      </c>
      <c r="F21">
        <v>0</v>
      </c>
      <c r="G21">
        <v>35200</v>
      </c>
      <c r="H21">
        <v>9440</v>
      </c>
      <c r="I21">
        <v>68112</v>
      </c>
      <c r="J21">
        <v>17060</v>
      </c>
      <c r="K21">
        <v>0</v>
      </c>
      <c r="L21">
        <v>0</v>
      </c>
      <c r="M21">
        <v>493282</v>
      </c>
      <c r="N21">
        <v>360</v>
      </c>
      <c r="O21">
        <v>35830</v>
      </c>
      <c r="P21">
        <v>0</v>
      </c>
      <c r="Q21">
        <v>2200</v>
      </c>
      <c r="R21">
        <v>0</v>
      </c>
      <c r="S21">
        <v>9290</v>
      </c>
      <c r="T21">
        <v>279</v>
      </c>
      <c r="AH21">
        <v>0</v>
      </c>
    </row>
    <row r="22" spans="1:35">
      <c r="A22" s="39" t="s">
        <v>177</v>
      </c>
      <c r="B22" t="s">
        <v>280</v>
      </c>
      <c r="C22">
        <v>348108</v>
      </c>
      <c r="D22">
        <v>0</v>
      </c>
      <c r="E22">
        <v>0</v>
      </c>
      <c r="F22">
        <v>0</v>
      </c>
      <c r="G22">
        <v>35200</v>
      </c>
      <c r="H22">
        <v>9440</v>
      </c>
      <c r="I22">
        <v>0</v>
      </c>
      <c r="J22">
        <v>17060</v>
      </c>
      <c r="K22">
        <v>0</v>
      </c>
      <c r="L22">
        <v>0</v>
      </c>
      <c r="M22">
        <v>409808</v>
      </c>
      <c r="N22">
        <v>360</v>
      </c>
      <c r="O22">
        <v>35830</v>
      </c>
      <c r="P22">
        <v>0</v>
      </c>
      <c r="Q22">
        <v>1800</v>
      </c>
      <c r="R22">
        <v>2875</v>
      </c>
      <c r="S22">
        <v>1240</v>
      </c>
      <c r="T22">
        <v>37</v>
      </c>
      <c r="AF22">
        <v>25000</v>
      </c>
      <c r="AH22">
        <v>0</v>
      </c>
    </row>
    <row r="23" spans="1:35">
      <c r="A23" s="38" t="s">
        <v>178</v>
      </c>
      <c r="B23" t="s">
        <v>281</v>
      </c>
      <c r="C23">
        <v>348108</v>
      </c>
      <c r="D23">
        <v>0</v>
      </c>
      <c r="E23">
        <v>0</v>
      </c>
      <c r="F23">
        <v>0</v>
      </c>
      <c r="G23">
        <v>35200</v>
      </c>
      <c r="H23">
        <v>9440</v>
      </c>
      <c r="I23">
        <v>68112</v>
      </c>
      <c r="J23">
        <v>17060</v>
      </c>
      <c r="K23">
        <v>0</v>
      </c>
      <c r="L23">
        <v>30993</v>
      </c>
      <c r="M23">
        <v>446927</v>
      </c>
      <c r="N23">
        <v>360</v>
      </c>
      <c r="O23">
        <v>35830</v>
      </c>
      <c r="P23">
        <v>0</v>
      </c>
      <c r="Q23">
        <v>2200</v>
      </c>
      <c r="R23">
        <v>1791</v>
      </c>
      <c r="S23">
        <v>5630</v>
      </c>
      <c r="T23">
        <v>169</v>
      </c>
      <c r="AG23">
        <v>60000</v>
      </c>
      <c r="AH23">
        <v>24170</v>
      </c>
    </row>
    <row r="24" spans="1:35">
      <c r="A24" s="39" t="s">
        <v>179</v>
      </c>
      <c r="B24" t="s">
        <v>282</v>
      </c>
      <c r="C24">
        <v>348108</v>
      </c>
      <c r="D24">
        <v>0</v>
      </c>
      <c r="E24">
        <v>0</v>
      </c>
      <c r="F24">
        <v>0</v>
      </c>
      <c r="G24">
        <v>35200</v>
      </c>
      <c r="H24">
        <v>9440</v>
      </c>
      <c r="I24">
        <v>68112</v>
      </c>
      <c r="J24">
        <v>17060</v>
      </c>
      <c r="K24">
        <v>0</v>
      </c>
      <c r="L24">
        <v>0</v>
      </c>
      <c r="M24">
        <v>477920</v>
      </c>
      <c r="N24">
        <v>360</v>
      </c>
      <c r="O24">
        <v>35830</v>
      </c>
      <c r="P24">
        <v>0</v>
      </c>
      <c r="Q24">
        <v>2200</v>
      </c>
      <c r="R24">
        <v>1792</v>
      </c>
      <c r="S24">
        <v>1720</v>
      </c>
      <c r="T24">
        <v>52</v>
      </c>
      <c r="V24">
        <v>48280</v>
      </c>
      <c r="W24">
        <v>36000</v>
      </c>
      <c r="AH24">
        <v>0</v>
      </c>
    </row>
    <row r="25" spans="1:35">
      <c r="A25" s="38" t="s">
        <v>180</v>
      </c>
      <c r="B25" t="s">
        <v>283</v>
      </c>
      <c r="C25">
        <v>348108</v>
      </c>
      <c r="D25">
        <v>0</v>
      </c>
      <c r="E25">
        <v>0</v>
      </c>
      <c r="F25">
        <v>0</v>
      </c>
      <c r="G25">
        <v>35200</v>
      </c>
      <c r="H25">
        <v>9440</v>
      </c>
      <c r="I25">
        <v>68112</v>
      </c>
      <c r="J25">
        <v>17060</v>
      </c>
      <c r="K25">
        <v>0</v>
      </c>
      <c r="L25">
        <v>0</v>
      </c>
      <c r="M25">
        <v>477920</v>
      </c>
      <c r="N25">
        <v>360</v>
      </c>
      <c r="O25">
        <v>35830</v>
      </c>
      <c r="P25">
        <v>0</v>
      </c>
      <c r="Q25">
        <v>2200</v>
      </c>
      <c r="R25">
        <v>1000</v>
      </c>
      <c r="S25">
        <v>5310</v>
      </c>
      <c r="T25">
        <v>159</v>
      </c>
      <c r="AG25">
        <v>99670</v>
      </c>
      <c r="AH25">
        <v>63840</v>
      </c>
    </row>
    <row r="26" spans="1:35">
      <c r="A26" s="39" t="s">
        <v>181</v>
      </c>
      <c r="B26" t="s">
        <v>284</v>
      </c>
      <c r="C26">
        <v>265708</v>
      </c>
      <c r="D26">
        <v>0</v>
      </c>
      <c r="E26">
        <v>3994</v>
      </c>
      <c r="F26">
        <v>0</v>
      </c>
      <c r="G26">
        <v>13200</v>
      </c>
      <c r="H26">
        <v>3544</v>
      </c>
      <c r="I26">
        <v>52476</v>
      </c>
      <c r="J26">
        <v>12940</v>
      </c>
      <c r="K26">
        <v>0</v>
      </c>
      <c r="L26">
        <v>0</v>
      </c>
      <c r="M26">
        <v>351862</v>
      </c>
      <c r="N26">
        <v>360</v>
      </c>
      <c r="O26">
        <v>27176</v>
      </c>
      <c r="P26">
        <v>0</v>
      </c>
      <c r="Q26">
        <v>1720</v>
      </c>
      <c r="R26">
        <v>1792</v>
      </c>
      <c r="S26">
        <v>0</v>
      </c>
      <c r="T26">
        <v>0</v>
      </c>
      <c r="V26">
        <v>60144</v>
      </c>
      <c r="AH26">
        <v>0</v>
      </c>
    </row>
    <row r="27" spans="1:35">
      <c r="A27" s="38" t="s">
        <v>182</v>
      </c>
      <c r="B27" t="s">
        <v>285</v>
      </c>
      <c r="C27">
        <v>489308</v>
      </c>
      <c r="D27">
        <v>0</v>
      </c>
      <c r="E27">
        <v>6840</v>
      </c>
      <c r="F27">
        <v>0</v>
      </c>
      <c r="G27">
        <v>35200</v>
      </c>
      <c r="H27">
        <v>9440</v>
      </c>
      <c r="I27">
        <v>96048</v>
      </c>
      <c r="J27">
        <v>24060</v>
      </c>
      <c r="K27">
        <v>0</v>
      </c>
      <c r="L27">
        <v>0</v>
      </c>
      <c r="M27">
        <v>660896</v>
      </c>
      <c r="N27">
        <v>720</v>
      </c>
      <c r="O27">
        <v>51213</v>
      </c>
      <c r="P27">
        <v>0</v>
      </c>
      <c r="Q27">
        <v>2400</v>
      </c>
      <c r="R27">
        <v>5175</v>
      </c>
      <c r="S27">
        <v>7000</v>
      </c>
      <c r="T27">
        <v>210</v>
      </c>
      <c r="V27">
        <v>13282</v>
      </c>
      <c r="W27">
        <v>11000</v>
      </c>
      <c r="AD27">
        <v>129000</v>
      </c>
      <c r="AG27">
        <v>79200</v>
      </c>
      <c r="AH27">
        <v>27987</v>
      </c>
      <c r="AI27">
        <v>16251</v>
      </c>
    </row>
    <row r="28" spans="1:35">
      <c r="A28" s="39" t="s">
        <v>183</v>
      </c>
      <c r="B28" t="s">
        <v>286</v>
      </c>
      <c r="C28">
        <v>431875</v>
      </c>
      <c r="D28">
        <v>0</v>
      </c>
      <c r="E28">
        <v>0</v>
      </c>
      <c r="F28">
        <v>240</v>
      </c>
      <c r="G28">
        <v>35200</v>
      </c>
      <c r="H28">
        <v>9440</v>
      </c>
      <c r="I28">
        <v>85084</v>
      </c>
      <c r="J28">
        <v>21061</v>
      </c>
      <c r="K28">
        <v>0</v>
      </c>
      <c r="L28">
        <v>112</v>
      </c>
      <c r="M28">
        <v>582788</v>
      </c>
      <c r="N28">
        <v>420</v>
      </c>
      <c r="O28">
        <v>44436</v>
      </c>
      <c r="P28">
        <v>0</v>
      </c>
      <c r="Q28">
        <v>2350</v>
      </c>
      <c r="R28">
        <v>2659</v>
      </c>
      <c r="S28">
        <v>9010</v>
      </c>
      <c r="T28">
        <v>270</v>
      </c>
      <c r="V28">
        <v>12247</v>
      </c>
      <c r="W28">
        <v>30000</v>
      </c>
      <c r="Z28">
        <v>30600</v>
      </c>
      <c r="AH28">
        <v>0</v>
      </c>
      <c r="AI28">
        <v>10851</v>
      </c>
    </row>
    <row r="29" spans="1:35">
      <c r="A29" s="38" t="s">
        <v>184</v>
      </c>
      <c r="B29" t="s">
        <v>287</v>
      </c>
      <c r="C29">
        <v>430175</v>
      </c>
      <c r="D29">
        <v>0</v>
      </c>
      <c r="E29">
        <v>0</v>
      </c>
      <c r="F29">
        <v>240</v>
      </c>
      <c r="G29">
        <v>35200</v>
      </c>
      <c r="H29">
        <v>9440</v>
      </c>
      <c r="I29">
        <v>85084</v>
      </c>
      <c r="J29">
        <v>21061</v>
      </c>
      <c r="K29">
        <v>0</v>
      </c>
      <c r="L29">
        <v>112</v>
      </c>
      <c r="M29">
        <v>581088</v>
      </c>
      <c r="N29">
        <v>420</v>
      </c>
      <c r="O29">
        <v>44436</v>
      </c>
      <c r="P29">
        <v>0</v>
      </c>
      <c r="Q29">
        <v>2350</v>
      </c>
      <c r="R29">
        <v>0</v>
      </c>
      <c r="S29">
        <v>8790</v>
      </c>
      <c r="T29">
        <v>264</v>
      </c>
      <c r="AC29">
        <v>56054</v>
      </c>
      <c r="AD29">
        <v>12000</v>
      </c>
      <c r="AG29">
        <v>66000</v>
      </c>
      <c r="AH29">
        <v>21564</v>
      </c>
    </row>
    <row r="30" spans="1:35">
      <c r="A30" s="39" t="s">
        <v>185</v>
      </c>
      <c r="B30" t="s">
        <v>288</v>
      </c>
      <c r="C30">
        <v>430175</v>
      </c>
      <c r="D30">
        <v>0</v>
      </c>
      <c r="E30">
        <v>12000</v>
      </c>
      <c r="F30">
        <v>240</v>
      </c>
      <c r="G30">
        <v>35200</v>
      </c>
      <c r="H30">
        <v>9440</v>
      </c>
      <c r="I30">
        <v>85084</v>
      </c>
      <c r="J30">
        <v>21061</v>
      </c>
      <c r="K30">
        <v>0</v>
      </c>
      <c r="L30">
        <v>112</v>
      </c>
      <c r="M30">
        <v>593088</v>
      </c>
      <c r="N30">
        <v>420</v>
      </c>
      <c r="O30">
        <v>44436</v>
      </c>
      <c r="P30">
        <v>0</v>
      </c>
      <c r="Q30">
        <v>2350</v>
      </c>
      <c r="R30">
        <v>0</v>
      </c>
      <c r="S30">
        <v>17840</v>
      </c>
      <c r="T30">
        <v>535</v>
      </c>
      <c r="AH30">
        <v>0</v>
      </c>
    </row>
    <row r="31" spans="1:35">
      <c r="A31" s="38" t="s">
        <v>186</v>
      </c>
      <c r="B31" t="s">
        <v>289</v>
      </c>
      <c r="C31">
        <v>431875</v>
      </c>
      <c r="D31">
        <v>0</v>
      </c>
      <c r="E31">
        <v>0</v>
      </c>
      <c r="F31">
        <v>240</v>
      </c>
      <c r="G31">
        <v>35200</v>
      </c>
      <c r="H31">
        <v>9440</v>
      </c>
      <c r="I31">
        <v>85084</v>
      </c>
      <c r="J31">
        <v>21061</v>
      </c>
      <c r="K31">
        <v>0</v>
      </c>
      <c r="L31">
        <v>112</v>
      </c>
      <c r="M31">
        <v>582788</v>
      </c>
      <c r="N31">
        <v>420</v>
      </c>
      <c r="O31">
        <v>44436</v>
      </c>
      <c r="P31">
        <v>0</v>
      </c>
      <c r="Q31">
        <v>2350</v>
      </c>
      <c r="R31">
        <v>0</v>
      </c>
      <c r="S31">
        <v>7690</v>
      </c>
      <c r="T31">
        <v>231</v>
      </c>
      <c r="V31">
        <v>31768</v>
      </c>
      <c r="W31">
        <v>81000</v>
      </c>
      <c r="AH31">
        <v>0</v>
      </c>
    </row>
    <row r="32" spans="1:35">
      <c r="A32" s="39" t="s">
        <v>187</v>
      </c>
      <c r="B32" t="s">
        <v>290</v>
      </c>
      <c r="C32">
        <v>431875</v>
      </c>
      <c r="D32">
        <v>0</v>
      </c>
      <c r="E32">
        <v>0</v>
      </c>
      <c r="F32">
        <v>240</v>
      </c>
      <c r="G32">
        <v>35200</v>
      </c>
      <c r="H32">
        <v>9440</v>
      </c>
      <c r="I32">
        <v>85084</v>
      </c>
      <c r="J32">
        <v>21061</v>
      </c>
      <c r="K32">
        <v>0</v>
      </c>
      <c r="L32">
        <v>112</v>
      </c>
      <c r="M32">
        <v>582788</v>
      </c>
      <c r="N32">
        <v>420</v>
      </c>
      <c r="O32">
        <v>44436</v>
      </c>
      <c r="P32">
        <v>0</v>
      </c>
      <c r="Q32">
        <v>2350</v>
      </c>
      <c r="R32">
        <v>0</v>
      </c>
      <c r="S32">
        <v>5570</v>
      </c>
      <c r="T32">
        <v>167</v>
      </c>
      <c r="V32">
        <v>2574</v>
      </c>
      <c r="W32">
        <v>89500</v>
      </c>
      <c r="X32">
        <v>6000</v>
      </c>
      <c r="AD32">
        <v>58000</v>
      </c>
      <c r="AH32">
        <v>0</v>
      </c>
    </row>
    <row r="33" spans="1:35">
      <c r="A33" s="38" t="s">
        <v>188</v>
      </c>
      <c r="B33" t="s">
        <v>291</v>
      </c>
      <c r="C33">
        <v>430175</v>
      </c>
      <c r="D33">
        <v>0</v>
      </c>
      <c r="E33">
        <v>0</v>
      </c>
      <c r="F33">
        <v>240</v>
      </c>
      <c r="G33">
        <v>35200</v>
      </c>
      <c r="H33">
        <v>9440</v>
      </c>
      <c r="I33">
        <v>85084</v>
      </c>
      <c r="J33">
        <v>21061</v>
      </c>
      <c r="K33">
        <v>0</v>
      </c>
      <c r="L33">
        <v>112</v>
      </c>
      <c r="M33">
        <v>581088</v>
      </c>
      <c r="N33">
        <v>420</v>
      </c>
      <c r="O33">
        <v>44436</v>
      </c>
      <c r="P33">
        <v>0</v>
      </c>
      <c r="Q33">
        <v>2350</v>
      </c>
      <c r="R33">
        <v>2659</v>
      </c>
      <c r="S33">
        <v>11640</v>
      </c>
      <c r="T33">
        <v>349</v>
      </c>
      <c r="V33">
        <v>21881</v>
      </c>
      <c r="AH33">
        <v>0</v>
      </c>
      <c r="AI33">
        <v>7370</v>
      </c>
    </row>
    <row r="34" spans="1:35">
      <c r="A34" s="39" t="s">
        <v>189</v>
      </c>
      <c r="B34" t="s">
        <v>292</v>
      </c>
      <c r="C34">
        <v>430175</v>
      </c>
      <c r="D34">
        <v>0</v>
      </c>
      <c r="E34">
        <v>0</v>
      </c>
      <c r="F34">
        <v>240</v>
      </c>
      <c r="G34">
        <v>35200</v>
      </c>
      <c r="H34">
        <v>9440</v>
      </c>
      <c r="I34">
        <v>85084</v>
      </c>
      <c r="J34">
        <v>21061</v>
      </c>
      <c r="K34">
        <v>0</v>
      </c>
      <c r="L34">
        <v>112</v>
      </c>
      <c r="M34">
        <v>581088</v>
      </c>
      <c r="N34">
        <v>420</v>
      </c>
      <c r="O34">
        <v>44436</v>
      </c>
      <c r="P34">
        <v>0</v>
      </c>
      <c r="Q34">
        <v>2350</v>
      </c>
      <c r="R34">
        <v>2659</v>
      </c>
      <c r="S34">
        <v>1470</v>
      </c>
      <c r="T34">
        <v>44</v>
      </c>
      <c r="U34">
        <v>128243</v>
      </c>
      <c r="W34">
        <v>20000</v>
      </c>
      <c r="Y34">
        <v>34537</v>
      </c>
      <c r="AH34">
        <v>0</v>
      </c>
    </row>
    <row r="35" spans="1:35">
      <c r="A35" s="38" t="s">
        <v>190</v>
      </c>
      <c r="B35" t="s">
        <v>293</v>
      </c>
      <c r="C35">
        <v>431875</v>
      </c>
      <c r="D35">
        <v>0</v>
      </c>
      <c r="E35">
        <v>0</v>
      </c>
      <c r="F35">
        <v>240</v>
      </c>
      <c r="G35">
        <v>35200</v>
      </c>
      <c r="H35">
        <v>9440</v>
      </c>
      <c r="I35">
        <v>85084</v>
      </c>
      <c r="J35">
        <v>21061</v>
      </c>
      <c r="K35">
        <v>0</v>
      </c>
      <c r="L35">
        <v>112</v>
      </c>
      <c r="M35">
        <v>582788</v>
      </c>
      <c r="N35">
        <v>420</v>
      </c>
      <c r="O35">
        <v>44436</v>
      </c>
      <c r="P35">
        <v>0</v>
      </c>
      <c r="Q35">
        <v>2350</v>
      </c>
      <c r="R35">
        <v>0</v>
      </c>
      <c r="S35">
        <v>11320</v>
      </c>
      <c r="T35">
        <v>340</v>
      </c>
      <c r="V35">
        <v>13718</v>
      </c>
      <c r="W35">
        <v>6000</v>
      </c>
      <c r="AC35">
        <v>3200</v>
      </c>
      <c r="AF35">
        <v>6364</v>
      </c>
      <c r="AH35">
        <v>0</v>
      </c>
      <c r="AI35">
        <v>10851</v>
      </c>
    </row>
    <row r="36" spans="1:35">
      <c r="A36" s="39" t="s">
        <v>191</v>
      </c>
      <c r="B36" t="s">
        <v>294</v>
      </c>
      <c r="C36">
        <v>429215</v>
      </c>
      <c r="D36">
        <v>0</v>
      </c>
      <c r="E36">
        <v>0</v>
      </c>
      <c r="F36">
        <v>240</v>
      </c>
      <c r="G36">
        <v>35200</v>
      </c>
      <c r="H36">
        <v>9440</v>
      </c>
      <c r="I36">
        <v>84631</v>
      </c>
      <c r="J36">
        <v>20986</v>
      </c>
      <c r="K36">
        <v>0</v>
      </c>
      <c r="L36">
        <v>3892</v>
      </c>
      <c r="M36">
        <v>575820</v>
      </c>
      <c r="N36">
        <v>420</v>
      </c>
      <c r="O36">
        <v>44332</v>
      </c>
      <c r="P36">
        <v>0</v>
      </c>
      <c r="Q36">
        <v>2300</v>
      </c>
      <c r="R36">
        <v>0</v>
      </c>
      <c r="S36">
        <v>9940</v>
      </c>
      <c r="T36">
        <v>298</v>
      </c>
      <c r="V36">
        <v>19872</v>
      </c>
      <c r="W36">
        <v>41000</v>
      </c>
      <c r="AH36">
        <v>0</v>
      </c>
    </row>
    <row r="37" spans="1:35">
      <c r="A37" s="38" t="s">
        <v>192</v>
      </c>
      <c r="B37" t="s">
        <v>295</v>
      </c>
      <c r="C37">
        <v>433675</v>
      </c>
      <c r="D37">
        <v>0</v>
      </c>
      <c r="E37">
        <v>0</v>
      </c>
      <c r="F37">
        <v>240</v>
      </c>
      <c r="G37">
        <v>35200</v>
      </c>
      <c r="H37">
        <v>9440</v>
      </c>
      <c r="I37">
        <v>85084</v>
      </c>
      <c r="J37">
        <v>21061</v>
      </c>
      <c r="K37">
        <v>0</v>
      </c>
      <c r="L37">
        <v>112</v>
      </c>
      <c r="M37">
        <v>584588</v>
      </c>
      <c r="N37">
        <v>420</v>
      </c>
      <c r="O37">
        <v>44436</v>
      </c>
      <c r="P37">
        <v>0</v>
      </c>
      <c r="Q37">
        <v>2350</v>
      </c>
      <c r="R37">
        <v>0</v>
      </c>
      <c r="S37">
        <v>15780</v>
      </c>
      <c r="T37">
        <v>473</v>
      </c>
      <c r="AH37">
        <v>0</v>
      </c>
    </row>
    <row r="38" spans="1:35">
      <c r="A38" s="39" t="s">
        <v>193</v>
      </c>
      <c r="B38" t="s">
        <v>296</v>
      </c>
      <c r="C38">
        <v>429215</v>
      </c>
      <c r="D38">
        <v>0</v>
      </c>
      <c r="E38">
        <v>0</v>
      </c>
      <c r="F38">
        <v>240</v>
      </c>
      <c r="G38">
        <v>35200</v>
      </c>
      <c r="H38">
        <v>9440</v>
      </c>
      <c r="I38">
        <v>84631</v>
      </c>
      <c r="J38">
        <v>20986</v>
      </c>
      <c r="K38">
        <v>0</v>
      </c>
      <c r="L38">
        <v>28912</v>
      </c>
      <c r="M38">
        <v>550800</v>
      </c>
      <c r="N38">
        <v>420</v>
      </c>
      <c r="O38">
        <v>44332</v>
      </c>
      <c r="P38">
        <v>0</v>
      </c>
      <c r="Q38">
        <v>2300</v>
      </c>
      <c r="R38">
        <v>0</v>
      </c>
      <c r="S38">
        <v>10220</v>
      </c>
      <c r="T38">
        <v>307</v>
      </c>
      <c r="V38">
        <v>12213</v>
      </c>
      <c r="AD38">
        <v>18000</v>
      </c>
      <c r="AH38">
        <v>0</v>
      </c>
    </row>
    <row r="39" spans="1:35">
      <c r="A39" s="38" t="s">
        <v>194</v>
      </c>
      <c r="B39" t="s">
        <v>297</v>
      </c>
      <c r="C39">
        <v>429215</v>
      </c>
      <c r="D39">
        <v>0</v>
      </c>
      <c r="E39">
        <v>0</v>
      </c>
      <c r="F39">
        <v>240</v>
      </c>
      <c r="G39">
        <v>35200</v>
      </c>
      <c r="H39">
        <v>9440</v>
      </c>
      <c r="I39">
        <v>84631</v>
      </c>
      <c r="J39">
        <v>20986</v>
      </c>
      <c r="K39">
        <v>0</v>
      </c>
      <c r="L39">
        <v>3892</v>
      </c>
      <c r="M39">
        <v>575820</v>
      </c>
      <c r="N39">
        <v>420</v>
      </c>
      <c r="O39">
        <v>44332</v>
      </c>
      <c r="P39">
        <v>0</v>
      </c>
      <c r="Q39">
        <v>2300</v>
      </c>
      <c r="R39">
        <v>3600</v>
      </c>
      <c r="S39">
        <v>10870</v>
      </c>
      <c r="T39">
        <v>326</v>
      </c>
      <c r="V39">
        <v>6005</v>
      </c>
      <c r="W39">
        <v>2000</v>
      </c>
      <c r="Z39">
        <v>30600</v>
      </c>
      <c r="AH39">
        <v>0</v>
      </c>
    </row>
    <row r="40" spans="1:35">
      <c r="A40" s="39" t="s">
        <v>195</v>
      </c>
      <c r="B40" t="s">
        <v>298</v>
      </c>
      <c r="C40">
        <v>515008</v>
      </c>
      <c r="D40">
        <v>-1200</v>
      </c>
      <c r="E40">
        <v>0</v>
      </c>
      <c r="F40">
        <v>0</v>
      </c>
      <c r="G40">
        <v>35200</v>
      </c>
      <c r="H40">
        <v>9440</v>
      </c>
      <c r="I40">
        <v>97056</v>
      </c>
      <c r="J40">
        <v>24420</v>
      </c>
      <c r="K40">
        <v>0</v>
      </c>
      <c r="L40">
        <v>0</v>
      </c>
      <c r="M40">
        <v>679924</v>
      </c>
      <c r="N40">
        <v>720</v>
      </c>
      <c r="O40">
        <v>51284</v>
      </c>
      <c r="P40">
        <v>0</v>
      </c>
      <c r="Q40">
        <v>2400</v>
      </c>
      <c r="R40">
        <v>3159</v>
      </c>
      <c r="S40">
        <v>22790</v>
      </c>
      <c r="T40">
        <v>684</v>
      </c>
      <c r="V40">
        <v>40892</v>
      </c>
      <c r="AH40">
        <v>0</v>
      </c>
      <c r="AI40">
        <v>10851</v>
      </c>
    </row>
    <row r="41" spans="1:35">
      <c r="A41" s="38" t="s">
        <v>196</v>
      </c>
      <c r="B41" t="s">
        <v>299</v>
      </c>
      <c r="C41">
        <v>431875</v>
      </c>
      <c r="D41">
        <v>0</v>
      </c>
      <c r="E41">
        <v>0</v>
      </c>
      <c r="F41">
        <v>240</v>
      </c>
      <c r="G41">
        <v>35200</v>
      </c>
      <c r="H41">
        <v>9440</v>
      </c>
      <c r="I41">
        <v>85084</v>
      </c>
      <c r="J41">
        <v>21061</v>
      </c>
      <c r="K41">
        <v>0</v>
      </c>
      <c r="L41">
        <v>112</v>
      </c>
      <c r="M41">
        <v>582788</v>
      </c>
      <c r="N41">
        <v>420</v>
      </c>
      <c r="O41">
        <v>44436</v>
      </c>
      <c r="P41">
        <v>0</v>
      </c>
      <c r="Q41">
        <v>2350</v>
      </c>
      <c r="R41">
        <v>0</v>
      </c>
      <c r="S41">
        <v>5020</v>
      </c>
      <c r="T41">
        <v>151</v>
      </c>
      <c r="W41">
        <v>150000</v>
      </c>
      <c r="X41">
        <v>6000</v>
      </c>
      <c r="AH41">
        <v>0</v>
      </c>
      <c r="AI41">
        <v>10851</v>
      </c>
    </row>
    <row r="42" spans="1:35">
      <c r="A42" s="39" t="s">
        <v>197</v>
      </c>
      <c r="B42" t="s">
        <v>300</v>
      </c>
      <c r="C42">
        <v>431875</v>
      </c>
      <c r="D42">
        <v>0</v>
      </c>
      <c r="E42">
        <v>0</v>
      </c>
      <c r="F42">
        <v>240</v>
      </c>
      <c r="G42">
        <v>35200</v>
      </c>
      <c r="H42">
        <v>9440</v>
      </c>
      <c r="I42">
        <v>532</v>
      </c>
      <c r="J42">
        <v>21061</v>
      </c>
      <c r="K42">
        <v>0</v>
      </c>
      <c r="L42">
        <v>644</v>
      </c>
      <c r="M42">
        <v>497704</v>
      </c>
      <c r="N42">
        <v>420</v>
      </c>
      <c r="O42">
        <v>44436</v>
      </c>
      <c r="P42">
        <v>0</v>
      </c>
      <c r="Q42">
        <v>2300</v>
      </c>
      <c r="R42">
        <v>4475</v>
      </c>
      <c r="S42">
        <v>2480</v>
      </c>
      <c r="T42">
        <v>74</v>
      </c>
      <c r="V42">
        <v>26950</v>
      </c>
      <c r="W42">
        <v>26500</v>
      </c>
      <c r="AD42">
        <v>24000</v>
      </c>
      <c r="AH42">
        <v>0</v>
      </c>
    </row>
    <row r="43" spans="1:35">
      <c r="A43" s="38" t="s">
        <v>198</v>
      </c>
      <c r="B43" t="s">
        <v>301</v>
      </c>
      <c r="C43">
        <v>433164</v>
      </c>
      <c r="D43">
        <v>0</v>
      </c>
      <c r="E43">
        <v>0</v>
      </c>
      <c r="F43">
        <v>240</v>
      </c>
      <c r="G43">
        <v>35200</v>
      </c>
      <c r="H43">
        <v>9440</v>
      </c>
      <c r="I43">
        <v>84827</v>
      </c>
      <c r="J43">
        <v>21006</v>
      </c>
      <c r="K43">
        <v>0</v>
      </c>
      <c r="L43">
        <v>17991</v>
      </c>
      <c r="M43">
        <v>565886</v>
      </c>
      <c r="N43">
        <v>420</v>
      </c>
      <c r="O43">
        <v>44318</v>
      </c>
      <c r="P43">
        <v>0</v>
      </c>
      <c r="Q43">
        <v>2350</v>
      </c>
      <c r="R43">
        <v>0</v>
      </c>
      <c r="S43">
        <v>7970</v>
      </c>
      <c r="T43">
        <v>239</v>
      </c>
      <c r="V43">
        <v>51824</v>
      </c>
      <c r="W43">
        <v>20000</v>
      </c>
      <c r="AD43">
        <v>12000</v>
      </c>
      <c r="AH43">
        <v>0</v>
      </c>
      <c r="AI43">
        <v>6500</v>
      </c>
    </row>
    <row r="44" spans="1:35">
      <c r="A44" s="39" t="s">
        <v>199</v>
      </c>
      <c r="B44" t="s">
        <v>302</v>
      </c>
      <c r="C44">
        <v>431875</v>
      </c>
      <c r="D44">
        <v>0</v>
      </c>
      <c r="E44">
        <v>0</v>
      </c>
      <c r="F44">
        <v>240</v>
      </c>
      <c r="G44">
        <v>35200</v>
      </c>
      <c r="H44">
        <v>9440</v>
      </c>
      <c r="I44">
        <v>85084</v>
      </c>
      <c r="J44">
        <v>21061</v>
      </c>
      <c r="K44">
        <v>0</v>
      </c>
      <c r="L44">
        <v>112</v>
      </c>
      <c r="M44">
        <v>582788</v>
      </c>
      <c r="N44">
        <v>420</v>
      </c>
      <c r="O44">
        <v>44436</v>
      </c>
      <c r="P44">
        <v>0</v>
      </c>
      <c r="Q44">
        <v>2350</v>
      </c>
      <c r="R44">
        <v>0</v>
      </c>
      <c r="S44">
        <v>0</v>
      </c>
      <c r="T44">
        <v>0</v>
      </c>
      <c r="U44">
        <v>122250</v>
      </c>
      <c r="W44">
        <v>0</v>
      </c>
      <c r="Y44">
        <v>16830</v>
      </c>
      <c r="AD44">
        <v>77000</v>
      </c>
      <c r="AH44">
        <v>0</v>
      </c>
      <c r="AI44">
        <v>2200</v>
      </c>
    </row>
    <row r="45" spans="1:35">
      <c r="A45" s="38" t="s">
        <v>200</v>
      </c>
      <c r="B45" t="s">
        <v>303</v>
      </c>
      <c r="C45">
        <v>430175</v>
      </c>
      <c r="D45">
        <v>0</v>
      </c>
      <c r="E45">
        <v>2960</v>
      </c>
      <c r="F45">
        <v>240</v>
      </c>
      <c r="G45">
        <v>35200</v>
      </c>
      <c r="H45">
        <v>9440</v>
      </c>
      <c r="I45">
        <v>85084</v>
      </c>
      <c r="J45">
        <v>21061</v>
      </c>
      <c r="K45">
        <v>0</v>
      </c>
      <c r="L45">
        <v>112</v>
      </c>
      <c r="M45">
        <v>584048</v>
      </c>
      <c r="N45">
        <v>420</v>
      </c>
      <c r="O45">
        <v>44436</v>
      </c>
      <c r="P45">
        <v>0</v>
      </c>
      <c r="Q45">
        <v>2400</v>
      </c>
      <c r="R45">
        <v>0</v>
      </c>
      <c r="S45">
        <v>10880</v>
      </c>
      <c r="T45">
        <v>326</v>
      </c>
      <c r="W45">
        <v>50000</v>
      </c>
      <c r="AH45">
        <v>0</v>
      </c>
    </row>
    <row r="46" spans="1:35">
      <c r="A46" s="39" t="s">
        <v>201</v>
      </c>
      <c r="B46" t="s">
        <v>304</v>
      </c>
      <c r="C46">
        <v>448208</v>
      </c>
      <c r="D46">
        <v>0</v>
      </c>
      <c r="E46">
        <v>0</v>
      </c>
      <c r="F46">
        <v>240</v>
      </c>
      <c r="G46">
        <v>35200</v>
      </c>
      <c r="H46">
        <v>9440</v>
      </c>
      <c r="I46">
        <v>76248</v>
      </c>
      <c r="J46">
        <v>21042</v>
      </c>
      <c r="K46">
        <v>0</v>
      </c>
      <c r="L46">
        <v>13696</v>
      </c>
      <c r="M46">
        <v>576682</v>
      </c>
      <c r="N46">
        <v>420</v>
      </c>
      <c r="O46">
        <v>44387</v>
      </c>
      <c r="P46">
        <v>0</v>
      </c>
      <c r="Q46">
        <v>2350</v>
      </c>
      <c r="R46">
        <v>2659</v>
      </c>
      <c r="S46">
        <v>12800</v>
      </c>
      <c r="T46">
        <v>384</v>
      </c>
      <c r="V46">
        <v>6166</v>
      </c>
      <c r="AH46">
        <v>0</v>
      </c>
    </row>
    <row r="47" spans="1:35">
      <c r="A47" s="38" t="s">
        <v>202</v>
      </c>
      <c r="B47" t="s">
        <v>305</v>
      </c>
      <c r="C47">
        <v>427375</v>
      </c>
      <c r="D47">
        <v>0</v>
      </c>
      <c r="E47">
        <v>0</v>
      </c>
      <c r="F47">
        <v>240</v>
      </c>
      <c r="G47">
        <v>35200</v>
      </c>
      <c r="H47">
        <v>9440</v>
      </c>
      <c r="I47">
        <v>84628</v>
      </c>
      <c r="J47">
        <v>20949</v>
      </c>
      <c r="K47">
        <v>0</v>
      </c>
      <c r="L47">
        <v>1204</v>
      </c>
      <c r="M47">
        <v>576628</v>
      </c>
      <c r="N47">
        <v>420</v>
      </c>
      <c r="O47">
        <v>44145</v>
      </c>
      <c r="P47">
        <v>0</v>
      </c>
      <c r="Q47">
        <v>2350</v>
      </c>
      <c r="R47">
        <v>2659</v>
      </c>
      <c r="S47">
        <v>5420</v>
      </c>
      <c r="T47">
        <v>163</v>
      </c>
      <c r="W47">
        <v>150000</v>
      </c>
      <c r="AH47">
        <v>0</v>
      </c>
    </row>
    <row r="48" spans="1:35">
      <c r="A48" s="39" t="s">
        <v>203</v>
      </c>
      <c r="B48" t="s">
        <v>306</v>
      </c>
      <c r="C48">
        <v>430175</v>
      </c>
      <c r="D48">
        <v>0</v>
      </c>
      <c r="E48">
        <v>0</v>
      </c>
      <c r="F48">
        <v>240</v>
      </c>
      <c r="G48">
        <v>35200</v>
      </c>
      <c r="H48">
        <v>9440</v>
      </c>
      <c r="I48">
        <v>85084</v>
      </c>
      <c r="J48">
        <v>21061</v>
      </c>
      <c r="K48">
        <v>0</v>
      </c>
      <c r="L48">
        <v>112</v>
      </c>
      <c r="M48">
        <v>581088</v>
      </c>
      <c r="N48">
        <v>420</v>
      </c>
      <c r="O48">
        <v>44436</v>
      </c>
      <c r="P48">
        <v>0</v>
      </c>
      <c r="Q48">
        <v>2350</v>
      </c>
      <c r="R48">
        <v>0</v>
      </c>
      <c r="S48">
        <v>5760</v>
      </c>
      <c r="T48">
        <v>173</v>
      </c>
      <c r="V48">
        <v>15000</v>
      </c>
      <c r="Z48">
        <v>10000</v>
      </c>
      <c r="AD48">
        <v>126000</v>
      </c>
      <c r="AF48">
        <v>10000</v>
      </c>
      <c r="AH48">
        <v>0</v>
      </c>
    </row>
    <row r="49" spans="1:35">
      <c r="A49" s="38" t="s">
        <v>204</v>
      </c>
      <c r="B49" t="s">
        <v>307</v>
      </c>
      <c r="C49">
        <v>430915</v>
      </c>
      <c r="D49">
        <v>12775</v>
      </c>
      <c r="E49">
        <v>0</v>
      </c>
      <c r="F49">
        <v>240</v>
      </c>
      <c r="G49">
        <v>35200</v>
      </c>
      <c r="H49">
        <v>9440</v>
      </c>
      <c r="I49">
        <v>84631</v>
      </c>
      <c r="J49">
        <v>20986</v>
      </c>
      <c r="K49">
        <v>0</v>
      </c>
      <c r="L49">
        <v>112</v>
      </c>
      <c r="M49">
        <v>594075</v>
      </c>
      <c r="N49">
        <v>420</v>
      </c>
      <c r="O49">
        <v>44332</v>
      </c>
      <c r="P49">
        <v>0</v>
      </c>
      <c r="Q49">
        <v>2300</v>
      </c>
      <c r="R49">
        <v>0</v>
      </c>
      <c r="S49">
        <v>5260</v>
      </c>
      <c r="T49">
        <v>158</v>
      </c>
      <c r="W49">
        <v>150000</v>
      </c>
      <c r="AH49">
        <v>0</v>
      </c>
      <c r="AI49">
        <v>10283</v>
      </c>
    </row>
    <row r="50" spans="1:35">
      <c r="A50" s="39" t="s">
        <v>205</v>
      </c>
      <c r="B50" t="s">
        <v>308</v>
      </c>
      <c r="C50">
        <v>430175</v>
      </c>
      <c r="D50">
        <v>0</v>
      </c>
      <c r="E50">
        <v>0</v>
      </c>
      <c r="F50">
        <v>240</v>
      </c>
      <c r="G50">
        <v>35200</v>
      </c>
      <c r="H50">
        <v>9440</v>
      </c>
      <c r="I50">
        <v>532</v>
      </c>
      <c r="J50">
        <v>21061</v>
      </c>
      <c r="K50">
        <v>0</v>
      </c>
      <c r="L50">
        <v>644</v>
      </c>
      <c r="M50">
        <v>496004</v>
      </c>
      <c r="N50">
        <v>420</v>
      </c>
      <c r="O50">
        <v>44436</v>
      </c>
      <c r="P50">
        <v>0</v>
      </c>
      <c r="Q50">
        <v>2300</v>
      </c>
      <c r="R50">
        <v>4475</v>
      </c>
      <c r="S50">
        <v>7540</v>
      </c>
      <c r="T50">
        <v>226</v>
      </c>
      <c r="AD50">
        <v>12000</v>
      </c>
      <c r="AF50">
        <v>12500</v>
      </c>
      <c r="AH50">
        <v>0</v>
      </c>
    </row>
    <row r="51" spans="1:35">
      <c r="A51" s="38" t="s">
        <v>206</v>
      </c>
      <c r="B51" t="s">
        <v>309</v>
      </c>
      <c r="C51">
        <v>432575</v>
      </c>
      <c r="D51">
        <v>12775</v>
      </c>
      <c r="E51">
        <v>0</v>
      </c>
      <c r="F51">
        <v>240</v>
      </c>
      <c r="G51">
        <v>35200</v>
      </c>
      <c r="H51">
        <v>9440</v>
      </c>
      <c r="I51">
        <v>85084</v>
      </c>
      <c r="J51">
        <v>21061</v>
      </c>
      <c r="K51">
        <v>0</v>
      </c>
      <c r="L51">
        <v>112</v>
      </c>
      <c r="M51">
        <v>596263</v>
      </c>
      <c r="N51">
        <v>420</v>
      </c>
      <c r="O51">
        <v>44436</v>
      </c>
      <c r="P51">
        <v>0</v>
      </c>
      <c r="Q51">
        <v>2350</v>
      </c>
      <c r="R51">
        <v>0</v>
      </c>
      <c r="S51">
        <v>9660</v>
      </c>
      <c r="T51">
        <v>290</v>
      </c>
      <c r="V51">
        <v>25500</v>
      </c>
      <c r="W51">
        <v>6500</v>
      </c>
      <c r="AF51">
        <v>25000</v>
      </c>
      <c r="AH51">
        <v>0</v>
      </c>
      <c r="AI51">
        <v>14468</v>
      </c>
    </row>
    <row r="52" spans="1:35">
      <c r="A52" s="39" t="s">
        <v>207</v>
      </c>
      <c r="B52" t="s">
        <v>310</v>
      </c>
      <c r="C52">
        <v>431875</v>
      </c>
      <c r="D52">
        <v>0</v>
      </c>
      <c r="E52">
        <v>0</v>
      </c>
      <c r="F52">
        <v>240</v>
      </c>
      <c r="G52">
        <v>35200</v>
      </c>
      <c r="H52">
        <v>9440</v>
      </c>
      <c r="I52">
        <v>85084</v>
      </c>
      <c r="J52">
        <v>21061</v>
      </c>
      <c r="K52">
        <v>0</v>
      </c>
      <c r="L52">
        <v>112</v>
      </c>
      <c r="M52">
        <v>582788</v>
      </c>
      <c r="N52">
        <v>420</v>
      </c>
      <c r="O52">
        <v>44436</v>
      </c>
      <c r="P52">
        <v>0</v>
      </c>
      <c r="Q52">
        <v>2350</v>
      </c>
      <c r="R52">
        <v>2659</v>
      </c>
      <c r="S52">
        <v>15250</v>
      </c>
      <c r="T52">
        <v>458</v>
      </c>
      <c r="AH52">
        <v>0</v>
      </c>
    </row>
    <row r="53" spans="1:35">
      <c r="A53" s="38" t="s">
        <v>208</v>
      </c>
      <c r="B53" t="s">
        <v>311</v>
      </c>
      <c r="C53">
        <v>430175</v>
      </c>
      <c r="D53">
        <v>12390</v>
      </c>
      <c r="E53">
        <v>0</v>
      </c>
      <c r="F53">
        <v>240</v>
      </c>
      <c r="G53">
        <v>35200</v>
      </c>
      <c r="H53">
        <v>9440</v>
      </c>
      <c r="I53">
        <v>85084</v>
      </c>
      <c r="J53">
        <v>21061</v>
      </c>
      <c r="K53">
        <v>0</v>
      </c>
      <c r="L53">
        <v>112</v>
      </c>
      <c r="M53">
        <v>593478</v>
      </c>
      <c r="N53">
        <v>420</v>
      </c>
      <c r="O53">
        <v>44436</v>
      </c>
      <c r="P53">
        <v>0</v>
      </c>
      <c r="Q53">
        <v>2350</v>
      </c>
      <c r="R53">
        <v>0</v>
      </c>
      <c r="S53">
        <v>17920</v>
      </c>
      <c r="T53">
        <v>538</v>
      </c>
      <c r="AH53">
        <v>0</v>
      </c>
    </row>
    <row r="54" spans="1:35">
      <c r="A54" s="39" t="s">
        <v>209</v>
      </c>
      <c r="B54" t="s">
        <v>312</v>
      </c>
      <c r="C54">
        <v>338508</v>
      </c>
      <c r="D54">
        <v>0</v>
      </c>
      <c r="E54">
        <v>0</v>
      </c>
      <c r="G54">
        <v>35200</v>
      </c>
      <c r="H54">
        <v>9440</v>
      </c>
      <c r="I54">
        <v>66192</v>
      </c>
      <c r="J54">
        <v>16580</v>
      </c>
      <c r="K54">
        <v>0</v>
      </c>
      <c r="L54">
        <v>0</v>
      </c>
      <c r="M54">
        <v>465920</v>
      </c>
      <c r="N54">
        <v>360</v>
      </c>
      <c r="O54">
        <v>34821</v>
      </c>
      <c r="P54">
        <v>0</v>
      </c>
      <c r="Q54">
        <v>1800</v>
      </c>
      <c r="R54">
        <v>0</v>
      </c>
      <c r="S54">
        <v>6110</v>
      </c>
      <c r="T54">
        <v>183</v>
      </c>
      <c r="V54">
        <v>15456</v>
      </c>
      <c r="AG54">
        <v>57600</v>
      </c>
      <c r="AH54">
        <v>22779</v>
      </c>
    </row>
    <row r="55" spans="1:35">
      <c r="A55" s="38" t="s">
        <v>210</v>
      </c>
      <c r="B55" t="s">
        <v>313</v>
      </c>
      <c r="C55">
        <v>430175</v>
      </c>
      <c r="D55">
        <v>0</v>
      </c>
      <c r="E55">
        <v>0</v>
      </c>
      <c r="F55">
        <v>240</v>
      </c>
      <c r="G55">
        <v>35200</v>
      </c>
      <c r="H55">
        <v>9440</v>
      </c>
      <c r="I55">
        <v>85084</v>
      </c>
      <c r="J55">
        <v>21061</v>
      </c>
      <c r="K55">
        <v>0</v>
      </c>
      <c r="L55">
        <v>112</v>
      </c>
      <c r="M55">
        <v>581088</v>
      </c>
      <c r="N55">
        <v>420</v>
      </c>
      <c r="O55">
        <v>44436</v>
      </c>
      <c r="P55">
        <v>0</v>
      </c>
      <c r="Q55">
        <v>2350</v>
      </c>
      <c r="R55">
        <v>4475</v>
      </c>
      <c r="S55">
        <v>2500</v>
      </c>
      <c r="T55">
        <v>75</v>
      </c>
      <c r="V55">
        <v>77114</v>
      </c>
      <c r="W55">
        <v>30000</v>
      </c>
      <c r="AG55">
        <v>98400</v>
      </c>
      <c r="AH55">
        <v>53964</v>
      </c>
    </row>
    <row r="56" spans="1:35">
      <c r="A56" s="39" t="s">
        <v>211</v>
      </c>
      <c r="B56" t="s">
        <v>314</v>
      </c>
      <c r="C56">
        <v>430175</v>
      </c>
      <c r="D56">
        <v>0</v>
      </c>
      <c r="E56">
        <v>0</v>
      </c>
      <c r="F56">
        <v>240</v>
      </c>
      <c r="G56">
        <v>35200</v>
      </c>
      <c r="H56">
        <v>9440</v>
      </c>
      <c r="I56">
        <v>85084</v>
      </c>
      <c r="J56">
        <v>21061</v>
      </c>
      <c r="K56">
        <v>0</v>
      </c>
      <c r="L56">
        <v>112</v>
      </c>
      <c r="M56">
        <v>581088</v>
      </c>
      <c r="N56">
        <v>420</v>
      </c>
      <c r="O56">
        <v>44436</v>
      </c>
      <c r="P56">
        <v>0</v>
      </c>
      <c r="Q56">
        <v>2350</v>
      </c>
      <c r="R56">
        <v>1859</v>
      </c>
      <c r="S56">
        <v>11660</v>
      </c>
      <c r="T56">
        <v>350</v>
      </c>
      <c r="AF56">
        <v>12000</v>
      </c>
      <c r="AG56">
        <v>62800</v>
      </c>
      <c r="AH56">
        <v>18364</v>
      </c>
    </row>
    <row r="57" spans="1:35">
      <c r="A57" s="38" t="s">
        <v>212</v>
      </c>
      <c r="B57" t="s">
        <v>315</v>
      </c>
      <c r="C57">
        <v>430915</v>
      </c>
      <c r="D57">
        <v>0</v>
      </c>
      <c r="E57">
        <v>0</v>
      </c>
      <c r="F57">
        <v>240</v>
      </c>
      <c r="G57">
        <v>35200</v>
      </c>
      <c r="H57">
        <v>9440</v>
      </c>
      <c r="I57">
        <v>84631</v>
      </c>
      <c r="J57">
        <v>20986</v>
      </c>
      <c r="K57">
        <v>0</v>
      </c>
      <c r="L57">
        <v>112</v>
      </c>
      <c r="M57">
        <v>581300</v>
      </c>
      <c r="N57">
        <v>420</v>
      </c>
      <c r="O57">
        <v>44332</v>
      </c>
      <c r="P57">
        <v>0</v>
      </c>
      <c r="Q57">
        <v>2300</v>
      </c>
      <c r="R57">
        <v>0</v>
      </c>
      <c r="S57">
        <v>10770</v>
      </c>
      <c r="T57">
        <v>323</v>
      </c>
      <c r="V57">
        <v>10849</v>
      </c>
      <c r="AG57">
        <v>84000</v>
      </c>
      <c r="AH57">
        <v>39668</v>
      </c>
    </row>
    <row r="58" spans="1:35">
      <c r="A58" s="39" t="s">
        <v>213</v>
      </c>
      <c r="B58" t="s">
        <v>316</v>
      </c>
      <c r="C58">
        <v>429215</v>
      </c>
      <c r="D58">
        <v>0</v>
      </c>
      <c r="E58">
        <v>11700</v>
      </c>
      <c r="F58">
        <v>240</v>
      </c>
      <c r="G58">
        <v>35200</v>
      </c>
      <c r="H58">
        <v>9440</v>
      </c>
      <c r="I58">
        <v>84631</v>
      </c>
      <c r="J58">
        <v>20986</v>
      </c>
      <c r="K58">
        <v>0</v>
      </c>
      <c r="L58">
        <v>112</v>
      </c>
      <c r="M58">
        <v>591300</v>
      </c>
      <c r="N58">
        <v>420</v>
      </c>
      <c r="O58">
        <v>44332</v>
      </c>
      <c r="P58">
        <v>0</v>
      </c>
      <c r="Q58">
        <v>2350</v>
      </c>
      <c r="R58">
        <v>0</v>
      </c>
      <c r="S58">
        <v>1050</v>
      </c>
      <c r="T58">
        <v>32</v>
      </c>
      <c r="W58">
        <v>150000</v>
      </c>
      <c r="AG58">
        <v>99600</v>
      </c>
      <c r="AH58">
        <v>55268</v>
      </c>
    </row>
    <row r="59" spans="1:35">
      <c r="A59" s="38" t="s">
        <v>214</v>
      </c>
      <c r="B59" t="s">
        <v>317</v>
      </c>
      <c r="C59">
        <v>429215</v>
      </c>
      <c r="D59">
        <v>0</v>
      </c>
      <c r="E59">
        <v>0</v>
      </c>
      <c r="F59">
        <v>240</v>
      </c>
      <c r="G59">
        <v>35200</v>
      </c>
      <c r="H59">
        <v>9440</v>
      </c>
      <c r="I59">
        <v>84631</v>
      </c>
      <c r="J59">
        <v>20986</v>
      </c>
      <c r="K59">
        <v>0</v>
      </c>
      <c r="L59">
        <v>112</v>
      </c>
      <c r="M59">
        <v>579600</v>
      </c>
      <c r="N59">
        <v>420</v>
      </c>
      <c r="O59">
        <v>44332</v>
      </c>
      <c r="P59">
        <v>0</v>
      </c>
      <c r="Q59">
        <v>2300</v>
      </c>
      <c r="R59">
        <v>0</v>
      </c>
      <c r="S59">
        <v>7710</v>
      </c>
      <c r="T59">
        <v>231</v>
      </c>
      <c r="W59">
        <v>57000</v>
      </c>
      <c r="Z59">
        <v>52200</v>
      </c>
      <c r="AH59">
        <v>0</v>
      </c>
    </row>
    <row r="60" spans="1:35">
      <c r="A60" s="39" t="s">
        <v>215</v>
      </c>
      <c r="B60" t="s">
        <v>318</v>
      </c>
      <c r="C60">
        <v>430915</v>
      </c>
      <c r="D60">
        <v>0</v>
      </c>
      <c r="E60">
        <v>0</v>
      </c>
      <c r="F60">
        <v>240</v>
      </c>
      <c r="G60">
        <v>35200</v>
      </c>
      <c r="H60">
        <v>9440</v>
      </c>
      <c r="I60">
        <v>84631</v>
      </c>
      <c r="J60">
        <v>20986</v>
      </c>
      <c r="K60">
        <v>0</v>
      </c>
      <c r="L60">
        <v>112</v>
      </c>
      <c r="M60">
        <v>581300</v>
      </c>
      <c r="N60">
        <v>420</v>
      </c>
      <c r="O60">
        <v>44332</v>
      </c>
      <c r="P60">
        <v>0</v>
      </c>
      <c r="Q60">
        <v>2300</v>
      </c>
      <c r="R60">
        <v>0</v>
      </c>
      <c r="S60">
        <v>10230</v>
      </c>
      <c r="T60">
        <v>307</v>
      </c>
      <c r="V60">
        <v>22440</v>
      </c>
      <c r="AD60">
        <v>24000</v>
      </c>
      <c r="AH60">
        <v>0</v>
      </c>
      <c r="AI60">
        <v>14000</v>
      </c>
    </row>
    <row r="61" spans="1:35">
      <c r="A61" s="38" t="s">
        <v>216</v>
      </c>
      <c r="B61" t="s">
        <v>319</v>
      </c>
      <c r="C61">
        <v>430175</v>
      </c>
      <c r="D61">
        <v>0</v>
      </c>
      <c r="E61">
        <v>0</v>
      </c>
      <c r="F61">
        <v>240</v>
      </c>
      <c r="G61">
        <v>35200</v>
      </c>
      <c r="H61">
        <v>9440</v>
      </c>
      <c r="I61">
        <v>85084</v>
      </c>
      <c r="J61">
        <v>21061</v>
      </c>
      <c r="K61">
        <v>0</v>
      </c>
      <c r="L61">
        <v>112</v>
      </c>
      <c r="M61">
        <v>581088</v>
      </c>
      <c r="N61">
        <v>420</v>
      </c>
      <c r="O61">
        <v>44436</v>
      </c>
      <c r="P61">
        <v>0</v>
      </c>
      <c r="Q61">
        <v>2350</v>
      </c>
      <c r="R61">
        <v>2659</v>
      </c>
      <c r="S61">
        <v>6130</v>
      </c>
      <c r="T61">
        <v>184</v>
      </c>
      <c r="V61">
        <v>31882</v>
      </c>
      <c r="W61">
        <v>20000</v>
      </c>
      <c r="Z61">
        <v>34261</v>
      </c>
      <c r="AF61">
        <v>7287</v>
      </c>
      <c r="AG61">
        <v>84000</v>
      </c>
      <c r="AH61">
        <v>39564</v>
      </c>
      <c r="AI61">
        <v>7234</v>
      </c>
    </row>
    <row r="62" spans="1:35">
      <c r="A62" s="39" t="s">
        <v>217</v>
      </c>
      <c r="B62" t="s">
        <v>320</v>
      </c>
      <c r="C62">
        <v>430175</v>
      </c>
      <c r="D62">
        <v>0</v>
      </c>
      <c r="E62">
        <v>0</v>
      </c>
      <c r="F62">
        <v>240</v>
      </c>
      <c r="G62">
        <v>35200</v>
      </c>
      <c r="H62">
        <v>9440</v>
      </c>
      <c r="I62">
        <v>85084</v>
      </c>
      <c r="J62">
        <v>21061</v>
      </c>
      <c r="K62">
        <v>0</v>
      </c>
      <c r="L62">
        <v>112</v>
      </c>
      <c r="M62">
        <v>581088</v>
      </c>
      <c r="N62">
        <v>420</v>
      </c>
      <c r="O62">
        <v>44436</v>
      </c>
      <c r="P62">
        <v>0</v>
      </c>
      <c r="Q62">
        <v>2350</v>
      </c>
      <c r="R62">
        <v>0</v>
      </c>
      <c r="S62">
        <v>15440</v>
      </c>
      <c r="T62">
        <v>463</v>
      </c>
      <c r="AH62">
        <v>0</v>
      </c>
    </row>
    <row r="63" spans="1:35">
      <c r="A63" s="38" t="s">
        <v>218</v>
      </c>
      <c r="B63" t="s">
        <v>321</v>
      </c>
      <c r="C63">
        <v>429215</v>
      </c>
      <c r="D63">
        <v>0</v>
      </c>
      <c r="E63">
        <v>0</v>
      </c>
      <c r="F63">
        <v>240</v>
      </c>
      <c r="G63">
        <v>35200</v>
      </c>
      <c r="H63">
        <v>9440</v>
      </c>
      <c r="I63">
        <v>84631</v>
      </c>
      <c r="J63">
        <v>20986</v>
      </c>
      <c r="K63">
        <v>0</v>
      </c>
      <c r="L63">
        <v>112</v>
      </c>
      <c r="M63">
        <v>579600</v>
      </c>
      <c r="N63">
        <v>420</v>
      </c>
      <c r="O63">
        <v>44332</v>
      </c>
      <c r="P63">
        <v>0</v>
      </c>
      <c r="Q63">
        <v>2300</v>
      </c>
      <c r="R63">
        <v>0</v>
      </c>
      <c r="S63">
        <v>8670</v>
      </c>
      <c r="T63">
        <v>260</v>
      </c>
      <c r="V63">
        <v>0</v>
      </c>
      <c r="Z63">
        <v>66000</v>
      </c>
      <c r="AF63">
        <v>24000</v>
      </c>
      <c r="AH63">
        <v>0</v>
      </c>
    </row>
    <row r="64" spans="1:35">
      <c r="A64" s="39" t="s">
        <v>219</v>
      </c>
      <c r="B64" t="s">
        <v>322</v>
      </c>
      <c r="C64">
        <v>428931</v>
      </c>
      <c r="D64">
        <v>0</v>
      </c>
      <c r="E64">
        <v>0</v>
      </c>
      <c r="F64">
        <v>240</v>
      </c>
      <c r="G64">
        <v>35200</v>
      </c>
      <c r="H64">
        <v>9440</v>
      </c>
      <c r="I64">
        <v>84563</v>
      </c>
      <c r="J64">
        <v>20972</v>
      </c>
      <c r="K64">
        <v>0</v>
      </c>
      <c r="L64">
        <v>112</v>
      </c>
      <c r="M64">
        <v>579234</v>
      </c>
      <c r="N64">
        <v>420</v>
      </c>
      <c r="O64">
        <v>44302</v>
      </c>
      <c r="P64">
        <v>0</v>
      </c>
      <c r="Q64">
        <v>2300</v>
      </c>
      <c r="R64">
        <v>0</v>
      </c>
      <c r="S64">
        <v>11980</v>
      </c>
      <c r="T64">
        <v>359</v>
      </c>
      <c r="V64">
        <v>23518</v>
      </c>
      <c r="AH64">
        <v>0</v>
      </c>
    </row>
    <row r="65" spans="1:35">
      <c r="A65" s="38" t="s">
        <v>220</v>
      </c>
      <c r="B65" t="s">
        <v>323</v>
      </c>
      <c r="C65">
        <v>338508</v>
      </c>
      <c r="D65">
        <v>0</v>
      </c>
      <c r="E65">
        <v>8360</v>
      </c>
      <c r="F65">
        <v>0</v>
      </c>
      <c r="G65">
        <v>35200</v>
      </c>
      <c r="H65">
        <v>9440</v>
      </c>
      <c r="I65">
        <v>66192</v>
      </c>
      <c r="J65">
        <v>16580</v>
      </c>
      <c r="K65">
        <v>0</v>
      </c>
      <c r="L65">
        <v>0</v>
      </c>
      <c r="M65">
        <v>474280</v>
      </c>
      <c r="N65">
        <v>360</v>
      </c>
      <c r="O65">
        <v>34821</v>
      </c>
      <c r="P65">
        <v>0</v>
      </c>
      <c r="Q65">
        <v>1800</v>
      </c>
      <c r="R65">
        <v>0</v>
      </c>
      <c r="S65">
        <v>0</v>
      </c>
      <c r="T65">
        <v>0</v>
      </c>
      <c r="W65">
        <v>130000</v>
      </c>
      <c r="AH65">
        <v>0</v>
      </c>
    </row>
    <row r="66" spans="1:35">
      <c r="A66" s="39" t="s">
        <v>221</v>
      </c>
      <c r="B66" t="s">
        <v>324</v>
      </c>
      <c r="C66">
        <v>429215</v>
      </c>
      <c r="D66">
        <v>0</v>
      </c>
      <c r="E66">
        <v>0</v>
      </c>
      <c r="F66">
        <v>240</v>
      </c>
      <c r="G66">
        <v>35200</v>
      </c>
      <c r="H66">
        <v>9440</v>
      </c>
      <c r="I66">
        <v>84631</v>
      </c>
      <c r="J66">
        <v>20986</v>
      </c>
      <c r="K66">
        <v>0</v>
      </c>
      <c r="L66">
        <v>112</v>
      </c>
      <c r="M66">
        <v>579600</v>
      </c>
      <c r="N66">
        <v>420</v>
      </c>
      <c r="O66">
        <v>44332</v>
      </c>
      <c r="P66">
        <v>0</v>
      </c>
      <c r="Q66">
        <v>2300</v>
      </c>
      <c r="R66">
        <v>2659</v>
      </c>
      <c r="S66">
        <v>14640</v>
      </c>
      <c r="T66">
        <v>439</v>
      </c>
      <c r="AH66">
        <v>0</v>
      </c>
    </row>
    <row r="67" spans="1:35">
      <c r="A67" s="38" t="s">
        <v>222</v>
      </c>
      <c r="B67" t="s">
        <v>325</v>
      </c>
      <c r="C67">
        <v>429215</v>
      </c>
      <c r="D67">
        <v>0</v>
      </c>
      <c r="E67">
        <v>3000</v>
      </c>
      <c r="F67">
        <v>240</v>
      </c>
      <c r="G67">
        <v>35200</v>
      </c>
      <c r="H67">
        <v>9440</v>
      </c>
      <c r="I67">
        <v>84631</v>
      </c>
      <c r="J67">
        <v>20986</v>
      </c>
      <c r="K67">
        <v>0</v>
      </c>
      <c r="L67">
        <v>112</v>
      </c>
      <c r="M67">
        <v>582600</v>
      </c>
      <c r="N67">
        <v>420</v>
      </c>
      <c r="O67">
        <v>44332</v>
      </c>
      <c r="P67">
        <v>0</v>
      </c>
      <c r="Q67">
        <v>2300</v>
      </c>
      <c r="R67">
        <v>0</v>
      </c>
      <c r="S67">
        <v>5840</v>
      </c>
      <c r="T67">
        <v>175</v>
      </c>
      <c r="V67">
        <v>25246</v>
      </c>
      <c r="Z67">
        <v>67053</v>
      </c>
      <c r="AB67">
        <v>58000</v>
      </c>
      <c r="AH67">
        <v>0</v>
      </c>
    </row>
    <row r="68" spans="1:35">
      <c r="A68" s="39" t="s">
        <v>223</v>
      </c>
      <c r="B68" t="s">
        <v>326</v>
      </c>
      <c r="C68">
        <v>430175</v>
      </c>
      <c r="D68">
        <v>0</v>
      </c>
      <c r="E68">
        <v>0</v>
      </c>
      <c r="F68">
        <v>240</v>
      </c>
      <c r="G68">
        <v>35200</v>
      </c>
      <c r="H68">
        <v>9440</v>
      </c>
      <c r="I68">
        <v>85084</v>
      </c>
      <c r="J68">
        <v>21061</v>
      </c>
      <c r="K68">
        <v>0</v>
      </c>
      <c r="L68">
        <v>112</v>
      </c>
      <c r="M68">
        <v>581088</v>
      </c>
      <c r="N68">
        <v>420</v>
      </c>
      <c r="O68">
        <v>44436</v>
      </c>
      <c r="P68">
        <v>0</v>
      </c>
      <c r="Q68">
        <v>2350</v>
      </c>
      <c r="R68">
        <v>4475</v>
      </c>
      <c r="S68">
        <v>5540</v>
      </c>
      <c r="T68">
        <v>166</v>
      </c>
      <c r="W68">
        <v>150000</v>
      </c>
      <c r="AH68">
        <v>0</v>
      </c>
    </row>
    <row r="69" spans="1:35">
      <c r="A69" s="38" t="s">
        <v>224</v>
      </c>
      <c r="B69" t="s">
        <v>327</v>
      </c>
      <c r="C69">
        <v>430175</v>
      </c>
      <c r="D69">
        <v>0</v>
      </c>
      <c r="E69">
        <v>0</v>
      </c>
      <c r="F69">
        <v>240</v>
      </c>
      <c r="G69">
        <v>35200</v>
      </c>
      <c r="H69">
        <v>9440</v>
      </c>
      <c r="I69">
        <v>85084</v>
      </c>
      <c r="J69">
        <v>21061</v>
      </c>
      <c r="K69">
        <v>0</v>
      </c>
      <c r="L69">
        <v>11092</v>
      </c>
      <c r="M69">
        <v>570108</v>
      </c>
      <c r="N69">
        <v>420</v>
      </c>
      <c r="O69">
        <v>44436</v>
      </c>
      <c r="P69">
        <v>0</v>
      </c>
      <c r="Q69">
        <v>2350</v>
      </c>
      <c r="R69">
        <v>0</v>
      </c>
      <c r="S69">
        <v>12500</v>
      </c>
      <c r="T69">
        <v>375</v>
      </c>
      <c r="AH69">
        <v>0</v>
      </c>
    </row>
    <row r="70" spans="1:35">
      <c r="A70" s="39" t="s">
        <v>225</v>
      </c>
      <c r="B70" t="s">
        <v>328</v>
      </c>
      <c r="C70">
        <v>431875</v>
      </c>
      <c r="D70">
        <v>0</v>
      </c>
      <c r="E70">
        <v>0</v>
      </c>
      <c r="F70">
        <v>240</v>
      </c>
      <c r="G70">
        <v>35200</v>
      </c>
      <c r="H70">
        <v>9440</v>
      </c>
      <c r="I70">
        <v>85084</v>
      </c>
      <c r="J70">
        <v>21061</v>
      </c>
      <c r="K70">
        <v>0</v>
      </c>
      <c r="L70">
        <v>3892</v>
      </c>
      <c r="M70">
        <v>579008</v>
      </c>
      <c r="N70">
        <v>420</v>
      </c>
      <c r="O70">
        <v>44436</v>
      </c>
      <c r="P70">
        <v>0</v>
      </c>
      <c r="Q70">
        <v>2350</v>
      </c>
      <c r="R70">
        <v>0</v>
      </c>
      <c r="S70">
        <v>5920</v>
      </c>
      <c r="T70">
        <v>178</v>
      </c>
      <c r="W70">
        <v>40000</v>
      </c>
      <c r="Z70">
        <v>44724</v>
      </c>
      <c r="AD70">
        <v>45000</v>
      </c>
      <c r="AH70">
        <v>0</v>
      </c>
      <c r="AI70">
        <v>14468</v>
      </c>
    </row>
    <row r="71" spans="1:35">
      <c r="A71" s="38" t="s">
        <v>226</v>
      </c>
      <c r="B71" t="s">
        <v>329</v>
      </c>
      <c r="C71">
        <v>430915</v>
      </c>
      <c r="D71">
        <v>0</v>
      </c>
      <c r="E71">
        <v>0</v>
      </c>
      <c r="F71">
        <v>240</v>
      </c>
      <c r="G71">
        <v>35200</v>
      </c>
      <c r="H71">
        <v>9440</v>
      </c>
      <c r="I71">
        <v>84631</v>
      </c>
      <c r="J71">
        <v>20986</v>
      </c>
      <c r="K71">
        <v>0</v>
      </c>
      <c r="L71">
        <v>112</v>
      </c>
      <c r="M71">
        <v>581300</v>
      </c>
      <c r="N71">
        <v>420</v>
      </c>
      <c r="O71">
        <v>44332</v>
      </c>
      <c r="P71">
        <v>0</v>
      </c>
      <c r="Q71">
        <v>2300</v>
      </c>
      <c r="R71">
        <v>0</v>
      </c>
      <c r="S71">
        <v>10550</v>
      </c>
      <c r="T71">
        <v>317</v>
      </c>
      <c r="V71">
        <v>24140</v>
      </c>
      <c r="W71">
        <v>30000</v>
      </c>
      <c r="AH71">
        <v>0</v>
      </c>
    </row>
    <row r="72" spans="1:35">
      <c r="A72" s="39" t="s">
        <v>227</v>
      </c>
      <c r="B72" t="s">
        <v>330</v>
      </c>
      <c r="C72">
        <v>433315</v>
      </c>
      <c r="D72">
        <v>0</v>
      </c>
      <c r="E72">
        <v>0</v>
      </c>
      <c r="F72">
        <v>240</v>
      </c>
      <c r="G72">
        <v>35200</v>
      </c>
      <c r="H72">
        <v>9440</v>
      </c>
      <c r="I72">
        <v>84631</v>
      </c>
      <c r="J72">
        <v>20986</v>
      </c>
      <c r="K72">
        <v>0</v>
      </c>
      <c r="L72">
        <v>112</v>
      </c>
      <c r="M72">
        <v>583700</v>
      </c>
      <c r="N72">
        <v>420</v>
      </c>
      <c r="O72">
        <v>44332</v>
      </c>
      <c r="P72">
        <v>0</v>
      </c>
      <c r="Q72">
        <v>2300</v>
      </c>
      <c r="R72">
        <v>0</v>
      </c>
      <c r="S72">
        <v>9820</v>
      </c>
      <c r="T72">
        <v>295</v>
      </c>
      <c r="AG72">
        <v>114000</v>
      </c>
      <c r="AH72">
        <v>69668</v>
      </c>
    </row>
    <row r="73" spans="1:35">
      <c r="A73" s="38" t="s">
        <v>228</v>
      </c>
      <c r="B73" t="s">
        <v>331</v>
      </c>
      <c r="C73">
        <v>264908</v>
      </c>
      <c r="D73">
        <v>0</v>
      </c>
      <c r="E73">
        <v>0</v>
      </c>
      <c r="F73">
        <v>0</v>
      </c>
      <c r="G73">
        <v>13200</v>
      </c>
      <c r="H73">
        <v>3544</v>
      </c>
      <c r="I73">
        <v>53052</v>
      </c>
      <c r="J73">
        <v>12900</v>
      </c>
      <c r="K73">
        <v>0</v>
      </c>
      <c r="L73">
        <v>4279</v>
      </c>
      <c r="M73">
        <v>343325</v>
      </c>
      <c r="N73">
        <v>360</v>
      </c>
      <c r="O73">
        <v>27092</v>
      </c>
      <c r="P73">
        <v>0</v>
      </c>
      <c r="Q73">
        <v>1800</v>
      </c>
      <c r="R73">
        <v>0</v>
      </c>
      <c r="S73">
        <v>50</v>
      </c>
      <c r="T73">
        <v>2</v>
      </c>
      <c r="AH73">
        <v>0</v>
      </c>
    </row>
    <row r="74" spans="1:35">
      <c r="A74" s="39" t="s">
        <v>229</v>
      </c>
      <c r="B74" t="s">
        <v>332</v>
      </c>
      <c r="C74">
        <v>307908</v>
      </c>
      <c r="D74">
        <v>0</v>
      </c>
      <c r="E74">
        <v>0</v>
      </c>
      <c r="F74">
        <v>0</v>
      </c>
      <c r="G74">
        <v>28000</v>
      </c>
      <c r="H74">
        <v>9080</v>
      </c>
      <c r="I74">
        <v>57384</v>
      </c>
      <c r="J74">
        <v>15050</v>
      </c>
      <c r="K74">
        <v>0</v>
      </c>
      <c r="L74">
        <v>0</v>
      </c>
      <c r="M74">
        <v>417422</v>
      </c>
      <c r="N74">
        <v>300</v>
      </c>
      <c r="O74">
        <v>31604</v>
      </c>
      <c r="P74">
        <v>0</v>
      </c>
      <c r="Q74">
        <v>1800</v>
      </c>
      <c r="R74">
        <v>0</v>
      </c>
      <c r="S74">
        <v>0</v>
      </c>
      <c r="T74">
        <v>0</v>
      </c>
      <c r="AH74">
        <v>0</v>
      </c>
    </row>
    <row r="75" spans="1:35">
      <c r="A75" s="38" t="s">
        <v>230</v>
      </c>
      <c r="B75" t="s">
        <v>333</v>
      </c>
      <c r="C75">
        <v>375308</v>
      </c>
      <c r="D75">
        <v>0</v>
      </c>
      <c r="E75">
        <v>0</v>
      </c>
      <c r="F75">
        <v>0</v>
      </c>
      <c r="G75">
        <v>35200</v>
      </c>
      <c r="H75">
        <v>9440</v>
      </c>
      <c r="I75">
        <v>73560</v>
      </c>
      <c r="J75">
        <v>18420</v>
      </c>
      <c r="K75">
        <v>0</v>
      </c>
      <c r="L75">
        <v>0</v>
      </c>
      <c r="M75">
        <v>511928</v>
      </c>
      <c r="N75">
        <v>360</v>
      </c>
      <c r="O75">
        <v>38681</v>
      </c>
      <c r="P75">
        <v>0</v>
      </c>
      <c r="Q75">
        <v>2200</v>
      </c>
      <c r="R75">
        <v>0</v>
      </c>
      <c r="S75">
        <v>1500</v>
      </c>
      <c r="T75">
        <v>45</v>
      </c>
      <c r="V75">
        <v>51510</v>
      </c>
      <c r="W75">
        <v>70000</v>
      </c>
      <c r="AH75">
        <v>0</v>
      </c>
    </row>
    <row r="76" spans="1:35">
      <c r="A76" s="39" t="s">
        <v>231</v>
      </c>
      <c r="B76" t="s">
        <v>334</v>
      </c>
      <c r="C76">
        <v>377108</v>
      </c>
      <c r="D76">
        <v>0</v>
      </c>
      <c r="E76">
        <v>0</v>
      </c>
      <c r="F76">
        <v>0</v>
      </c>
      <c r="G76">
        <v>35200</v>
      </c>
      <c r="H76">
        <v>9440</v>
      </c>
      <c r="I76">
        <v>73560</v>
      </c>
      <c r="J76">
        <v>18420</v>
      </c>
      <c r="K76">
        <v>0</v>
      </c>
      <c r="L76">
        <v>0</v>
      </c>
      <c r="M76">
        <v>513728</v>
      </c>
      <c r="N76">
        <v>360</v>
      </c>
      <c r="O76">
        <v>38681</v>
      </c>
      <c r="P76">
        <v>0</v>
      </c>
      <c r="Q76">
        <v>2200</v>
      </c>
      <c r="R76">
        <v>0</v>
      </c>
      <c r="S76">
        <v>5700</v>
      </c>
      <c r="T76">
        <v>171</v>
      </c>
      <c r="V76">
        <v>22596</v>
      </c>
      <c r="W76">
        <v>65000</v>
      </c>
      <c r="AH76">
        <v>0</v>
      </c>
    </row>
    <row r="77" spans="1:35">
      <c r="A77" s="38" t="s">
        <v>232</v>
      </c>
      <c r="B77" t="s">
        <v>335</v>
      </c>
      <c r="C77">
        <v>328675</v>
      </c>
      <c r="D77">
        <v>0</v>
      </c>
      <c r="E77">
        <v>9600</v>
      </c>
      <c r="F77">
        <v>0</v>
      </c>
      <c r="G77">
        <v>35200</v>
      </c>
      <c r="H77">
        <v>9440</v>
      </c>
      <c r="I77">
        <v>64228</v>
      </c>
      <c r="J77">
        <v>16088</v>
      </c>
      <c r="K77">
        <v>0</v>
      </c>
      <c r="L77">
        <v>2602</v>
      </c>
      <c r="M77">
        <v>460629</v>
      </c>
      <c r="N77">
        <v>360</v>
      </c>
      <c r="O77">
        <v>33787</v>
      </c>
      <c r="P77">
        <v>0</v>
      </c>
      <c r="Q77">
        <v>1800</v>
      </c>
      <c r="R77">
        <v>0</v>
      </c>
      <c r="S77">
        <v>1210</v>
      </c>
      <c r="T77">
        <v>36</v>
      </c>
      <c r="V77">
        <v>24324</v>
      </c>
      <c r="W77">
        <v>25500</v>
      </c>
      <c r="AD77">
        <v>12000</v>
      </c>
      <c r="AG77">
        <v>54000</v>
      </c>
      <c r="AH77">
        <v>20213</v>
      </c>
    </row>
    <row r="78" spans="1:35">
      <c r="A78" s="39" t="s">
        <v>233</v>
      </c>
      <c r="B78" t="s">
        <v>336</v>
      </c>
      <c r="C78">
        <v>328908</v>
      </c>
      <c r="D78">
        <v>0</v>
      </c>
      <c r="E78">
        <v>0</v>
      </c>
      <c r="F78">
        <v>0</v>
      </c>
      <c r="G78">
        <v>35200</v>
      </c>
      <c r="H78">
        <v>9440</v>
      </c>
      <c r="I78">
        <v>64284</v>
      </c>
      <c r="J78">
        <v>16100</v>
      </c>
      <c r="K78">
        <v>0</v>
      </c>
      <c r="L78">
        <v>8036</v>
      </c>
      <c r="M78">
        <v>445896</v>
      </c>
      <c r="N78">
        <v>360</v>
      </c>
      <c r="O78">
        <v>33811</v>
      </c>
      <c r="P78">
        <v>0</v>
      </c>
      <c r="Q78">
        <v>1800</v>
      </c>
      <c r="R78">
        <v>0</v>
      </c>
      <c r="S78">
        <v>7040</v>
      </c>
      <c r="T78">
        <v>211</v>
      </c>
      <c r="AH78">
        <v>0</v>
      </c>
    </row>
    <row r="79" spans="1:35">
      <c r="A79" s="38" t="s">
        <v>234</v>
      </c>
      <c r="B79" t="s">
        <v>337</v>
      </c>
      <c r="C79">
        <v>328908</v>
      </c>
      <c r="D79">
        <v>0</v>
      </c>
      <c r="E79">
        <v>8400</v>
      </c>
      <c r="F79">
        <v>0</v>
      </c>
      <c r="G79">
        <v>35200</v>
      </c>
      <c r="H79">
        <v>9440</v>
      </c>
      <c r="I79">
        <v>64284</v>
      </c>
      <c r="J79">
        <v>16100</v>
      </c>
      <c r="K79">
        <v>0</v>
      </c>
      <c r="L79">
        <v>0</v>
      </c>
      <c r="M79">
        <v>462332</v>
      </c>
      <c r="N79">
        <v>360</v>
      </c>
      <c r="O79">
        <v>33811</v>
      </c>
      <c r="P79">
        <v>0</v>
      </c>
      <c r="Q79">
        <v>1800</v>
      </c>
      <c r="R79">
        <v>0</v>
      </c>
      <c r="S79">
        <v>1060</v>
      </c>
      <c r="T79">
        <v>32</v>
      </c>
      <c r="V79">
        <v>42002</v>
      </c>
      <c r="W79">
        <v>30000</v>
      </c>
      <c r="AD79">
        <v>14000</v>
      </c>
      <c r="AH79">
        <v>0</v>
      </c>
    </row>
    <row r="80" spans="1:35">
      <c r="A80" s="39" t="s">
        <v>235</v>
      </c>
      <c r="B80" t="s">
        <v>338</v>
      </c>
      <c r="C80">
        <v>328908</v>
      </c>
      <c r="D80">
        <v>0</v>
      </c>
      <c r="E80">
        <v>9600</v>
      </c>
      <c r="F80">
        <v>0</v>
      </c>
      <c r="G80">
        <v>35200</v>
      </c>
      <c r="H80">
        <v>9440</v>
      </c>
      <c r="I80">
        <v>64284</v>
      </c>
      <c r="J80">
        <v>16100</v>
      </c>
      <c r="K80">
        <v>0</v>
      </c>
      <c r="L80">
        <v>0</v>
      </c>
      <c r="M80">
        <v>463532</v>
      </c>
      <c r="N80">
        <v>360</v>
      </c>
      <c r="O80">
        <v>33811</v>
      </c>
      <c r="P80">
        <v>0</v>
      </c>
      <c r="Q80">
        <v>1800</v>
      </c>
      <c r="R80">
        <v>0</v>
      </c>
      <c r="S80">
        <v>7920</v>
      </c>
      <c r="T80">
        <v>238</v>
      </c>
      <c r="AH80">
        <v>0</v>
      </c>
    </row>
    <row r="81" spans="1:34">
      <c r="A81" s="38" t="s">
        <v>236</v>
      </c>
      <c r="B81" t="s">
        <v>339</v>
      </c>
      <c r="C81">
        <v>330408</v>
      </c>
      <c r="D81">
        <v>0</v>
      </c>
      <c r="E81">
        <v>8800</v>
      </c>
      <c r="F81">
        <v>0</v>
      </c>
      <c r="G81">
        <v>35200</v>
      </c>
      <c r="H81">
        <v>9440</v>
      </c>
      <c r="I81">
        <v>64284</v>
      </c>
      <c r="J81">
        <v>16100</v>
      </c>
      <c r="K81">
        <v>0</v>
      </c>
      <c r="L81">
        <v>0</v>
      </c>
      <c r="M81">
        <v>464232</v>
      </c>
      <c r="N81">
        <v>360</v>
      </c>
      <c r="O81">
        <v>33811</v>
      </c>
      <c r="P81">
        <v>0</v>
      </c>
      <c r="Q81">
        <v>1800</v>
      </c>
      <c r="R81">
        <v>0</v>
      </c>
      <c r="S81">
        <v>6730</v>
      </c>
      <c r="T81">
        <v>202</v>
      </c>
      <c r="AF81">
        <v>24646</v>
      </c>
      <c r="AH81">
        <v>0</v>
      </c>
    </row>
    <row r="82" spans="1:34">
      <c r="A82" s="39" t="s">
        <v>237</v>
      </c>
      <c r="B82" t="s">
        <v>340</v>
      </c>
      <c r="C82">
        <v>371608</v>
      </c>
      <c r="D82">
        <v>0</v>
      </c>
      <c r="E82">
        <v>506</v>
      </c>
      <c r="F82">
        <v>960</v>
      </c>
      <c r="G82">
        <v>35200</v>
      </c>
      <c r="H82">
        <v>9440</v>
      </c>
      <c r="I82">
        <v>71856</v>
      </c>
      <c r="J82">
        <v>18150</v>
      </c>
      <c r="K82">
        <v>0</v>
      </c>
      <c r="L82">
        <v>0</v>
      </c>
      <c r="M82">
        <v>507720</v>
      </c>
      <c r="N82">
        <v>360</v>
      </c>
      <c r="O82">
        <v>38114</v>
      </c>
      <c r="P82">
        <v>0</v>
      </c>
      <c r="Q82">
        <v>2200</v>
      </c>
      <c r="R82">
        <v>4625</v>
      </c>
      <c r="S82">
        <v>0</v>
      </c>
      <c r="T82">
        <v>0</v>
      </c>
      <c r="V82">
        <v>66090</v>
      </c>
      <c r="W82">
        <v>110000</v>
      </c>
      <c r="AH82">
        <v>0</v>
      </c>
    </row>
    <row r="83" spans="1:34">
      <c r="A83" s="38" t="s">
        <v>238</v>
      </c>
      <c r="B83" t="s">
        <v>341</v>
      </c>
      <c r="C83">
        <v>369908</v>
      </c>
      <c r="D83">
        <v>0</v>
      </c>
      <c r="E83">
        <v>10406</v>
      </c>
      <c r="F83">
        <v>960</v>
      </c>
      <c r="G83">
        <v>35200</v>
      </c>
      <c r="H83">
        <v>9440</v>
      </c>
      <c r="I83">
        <v>71856</v>
      </c>
      <c r="J83">
        <v>18150</v>
      </c>
      <c r="K83">
        <v>0</v>
      </c>
      <c r="L83">
        <v>0</v>
      </c>
      <c r="M83">
        <v>515920</v>
      </c>
      <c r="N83">
        <v>360</v>
      </c>
      <c r="O83">
        <v>38114</v>
      </c>
      <c r="P83">
        <v>0</v>
      </c>
      <c r="Q83">
        <v>2200</v>
      </c>
      <c r="R83">
        <v>0</v>
      </c>
      <c r="S83">
        <v>10310</v>
      </c>
      <c r="T83">
        <v>309</v>
      </c>
      <c r="AH83">
        <v>0</v>
      </c>
    </row>
    <row r="84" spans="1:34">
      <c r="A84" s="39" t="s">
        <v>239</v>
      </c>
      <c r="B84" t="s">
        <v>342</v>
      </c>
      <c r="C84">
        <v>369908</v>
      </c>
      <c r="D84">
        <v>0</v>
      </c>
      <c r="E84">
        <v>506</v>
      </c>
      <c r="F84">
        <v>960</v>
      </c>
      <c r="G84">
        <v>35200</v>
      </c>
      <c r="H84">
        <v>9440</v>
      </c>
      <c r="I84">
        <v>71856</v>
      </c>
      <c r="J84">
        <v>18150</v>
      </c>
      <c r="K84">
        <v>0</v>
      </c>
      <c r="L84">
        <v>0</v>
      </c>
      <c r="M84">
        <v>506020</v>
      </c>
      <c r="N84">
        <v>360</v>
      </c>
      <c r="O84">
        <v>38114</v>
      </c>
      <c r="P84">
        <v>0</v>
      </c>
      <c r="Q84">
        <v>2200</v>
      </c>
      <c r="R84">
        <v>1709</v>
      </c>
      <c r="S84">
        <v>5580</v>
      </c>
      <c r="T84">
        <v>167</v>
      </c>
      <c r="Z84">
        <v>35400</v>
      </c>
      <c r="AG84">
        <v>86400</v>
      </c>
      <c r="AH84">
        <v>48286</v>
      </c>
    </row>
    <row r="85" spans="1:34">
      <c r="A85" s="38" t="s">
        <v>240</v>
      </c>
      <c r="B85" t="s">
        <v>343</v>
      </c>
      <c r="C85">
        <v>369332</v>
      </c>
      <c r="D85">
        <v>0</v>
      </c>
      <c r="E85">
        <v>10800</v>
      </c>
      <c r="F85">
        <v>0</v>
      </c>
      <c r="G85">
        <v>35200</v>
      </c>
      <c r="H85">
        <v>9440</v>
      </c>
      <c r="I85">
        <v>71856</v>
      </c>
      <c r="J85">
        <v>18150</v>
      </c>
      <c r="K85">
        <v>0</v>
      </c>
      <c r="L85">
        <v>0</v>
      </c>
      <c r="M85">
        <v>514778</v>
      </c>
      <c r="N85">
        <v>360</v>
      </c>
      <c r="O85">
        <v>38114</v>
      </c>
      <c r="P85">
        <v>0</v>
      </c>
      <c r="Q85">
        <v>2200</v>
      </c>
      <c r="R85">
        <v>0</v>
      </c>
      <c r="S85">
        <v>10250</v>
      </c>
      <c r="T85">
        <v>308</v>
      </c>
      <c r="AH85">
        <v>0</v>
      </c>
    </row>
    <row r="86" spans="1:34">
      <c r="A86" s="39" t="s">
        <v>241</v>
      </c>
      <c r="B86" t="s">
        <v>344</v>
      </c>
      <c r="C86">
        <v>369332</v>
      </c>
      <c r="D86">
        <v>0</v>
      </c>
      <c r="E86">
        <v>10800</v>
      </c>
      <c r="F86">
        <v>0</v>
      </c>
      <c r="G86">
        <v>35200</v>
      </c>
      <c r="H86">
        <v>9440</v>
      </c>
      <c r="I86">
        <v>71856</v>
      </c>
      <c r="J86">
        <v>18150</v>
      </c>
      <c r="K86">
        <v>0</v>
      </c>
      <c r="L86">
        <v>0</v>
      </c>
      <c r="M86">
        <v>514778</v>
      </c>
      <c r="N86">
        <v>360</v>
      </c>
      <c r="O86">
        <v>38114</v>
      </c>
      <c r="P86">
        <v>0</v>
      </c>
      <c r="Q86">
        <v>2200</v>
      </c>
      <c r="R86">
        <v>1625</v>
      </c>
      <c r="S86">
        <v>10170</v>
      </c>
      <c r="T86">
        <v>305</v>
      </c>
      <c r="AH86">
        <v>0</v>
      </c>
    </row>
    <row r="87" spans="1:34">
      <c r="A87" s="38" t="s">
        <v>242</v>
      </c>
      <c r="B87" t="s">
        <v>345</v>
      </c>
      <c r="C87">
        <v>368757</v>
      </c>
      <c r="D87">
        <v>0</v>
      </c>
      <c r="E87">
        <v>0</v>
      </c>
      <c r="F87">
        <v>0</v>
      </c>
      <c r="G87">
        <v>35200</v>
      </c>
      <c r="H87">
        <v>9440</v>
      </c>
      <c r="I87">
        <v>71856</v>
      </c>
      <c r="J87">
        <v>18150</v>
      </c>
      <c r="K87">
        <v>0</v>
      </c>
      <c r="L87">
        <v>0</v>
      </c>
      <c r="M87">
        <v>503403</v>
      </c>
      <c r="N87">
        <v>360</v>
      </c>
      <c r="O87">
        <v>51972</v>
      </c>
      <c r="P87">
        <v>0</v>
      </c>
      <c r="Q87">
        <v>2200</v>
      </c>
      <c r="R87">
        <v>1667</v>
      </c>
      <c r="S87">
        <v>8900</v>
      </c>
      <c r="T87">
        <v>267</v>
      </c>
      <c r="AH87">
        <v>0</v>
      </c>
    </row>
    <row r="88" spans="1:34">
      <c r="A88" s="39" t="s">
        <v>243</v>
      </c>
      <c r="B88" t="s">
        <v>346</v>
      </c>
      <c r="C88">
        <v>447457</v>
      </c>
      <c r="D88">
        <v>0</v>
      </c>
      <c r="E88">
        <v>0</v>
      </c>
      <c r="F88">
        <v>0</v>
      </c>
      <c r="G88">
        <v>35200</v>
      </c>
      <c r="H88">
        <v>9440</v>
      </c>
      <c r="I88">
        <v>0</v>
      </c>
      <c r="J88">
        <v>22010</v>
      </c>
      <c r="K88">
        <v>0</v>
      </c>
      <c r="L88">
        <v>0</v>
      </c>
      <c r="M88">
        <v>514107</v>
      </c>
      <c r="N88">
        <v>840</v>
      </c>
      <c r="O88">
        <v>46223</v>
      </c>
      <c r="P88">
        <v>0</v>
      </c>
      <c r="Q88">
        <v>2400</v>
      </c>
      <c r="R88">
        <v>3600</v>
      </c>
      <c r="S88">
        <v>9330</v>
      </c>
      <c r="T88">
        <v>280</v>
      </c>
      <c r="W88">
        <v>1500</v>
      </c>
      <c r="Z88">
        <v>3840</v>
      </c>
      <c r="AH88">
        <v>0</v>
      </c>
    </row>
    <row r="89" spans="1:34">
      <c r="A89" s="38" t="s">
        <v>244</v>
      </c>
      <c r="B89" t="s">
        <v>347</v>
      </c>
      <c r="C89">
        <v>369381</v>
      </c>
      <c r="D89">
        <v>0</v>
      </c>
      <c r="E89">
        <v>0</v>
      </c>
      <c r="F89">
        <v>0</v>
      </c>
      <c r="G89">
        <v>35200</v>
      </c>
      <c r="H89">
        <v>9440</v>
      </c>
      <c r="I89">
        <v>71856</v>
      </c>
      <c r="J89">
        <v>18150</v>
      </c>
      <c r="K89">
        <v>0</v>
      </c>
      <c r="L89">
        <v>0</v>
      </c>
      <c r="M89">
        <v>504027</v>
      </c>
      <c r="N89">
        <v>360</v>
      </c>
      <c r="O89">
        <v>38114</v>
      </c>
      <c r="P89">
        <v>0</v>
      </c>
      <c r="Q89">
        <v>2200</v>
      </c>
      <c r="R89">
        <v>0</v>
      </c>
      <c r="S89">
        <v>9650</v>
      </c>
      <c r="T89">
        <v>290</v>
      </c>
      <c r="AH89">
        <v>0</v>
      </c>
    </row>
    <row r="90" spans="1:34">
      <c r="A90" s="39" t="s">
        <v>245</v>
      </c>
      <c r="B90" t="s">
        <v>348</v>
      </c>
      <c r="C90">
        <v>361630</v>
      </c>
      <c r="D90">
        <v>0</v>
      </c>
      <c r="E90">
        <v>0</v>
      </c>
      <c r="F90">
        <v>0</v>
      </c>
      <c r="G90">
        <v>35200</v>
      </c>
      <c r="H90">
        <v>9440</v>
      </c>
      <c r="I90">
        <v>71424</v>
      </c>
      <c r="J90">
        <v>17880</v>
      </c>
      <c r="K90">
        <v>0</v>
      </c>
      <c r="L90">
        <v>0</v>
      </c>
      <c r="M90">
        <v>495574</v>
      </c>
      <c r="N90">
        <v>360</v>
      </c>
      <c r="O90">
        <v>37549</v>
      </c>
      <c r="P90">
        <v>0</v>
      </c>
      <c r="Q90">
        <v>2200</v>
      </c>
      <c r="R90">
        <v>1459</v>
      </c>
      <c r="S90">
        <v>300</v>
      </c>
      <c r="T90">
        <v>9</v>
      </c>
      <c r="V90">
        <v>66700</v>
      </c>
      <c r="W90">
        <v>9000</v>
      </c>
      <c r="AD90">
        <v>60000</v>
      </c>
      <c r="AH90">
        <v>0</v>
      </c>
    </row>
    <row r="91" spans="1:34">
      <c r="A91" s="38" t="s">
        <v>246</v>
      </c>
      <c r="B91" t="s">
        <v>349</v>
      </c>
      <c r="C91">
        <v>362477</v>
      </c>
      <c r="D91">
        <v>0</v>
      </c>
      <c r="E91">
        <v>0</v>
      </c>
      <c r="F91">
        <v>0</v>
      </c>
      <c r="G91">
        <v>35665</v>
      </c>
      <c r="H91">
        <v>10021</v>
      </c>
      <c r="I91">
        <v>71117</v>
      </c>
      <c r="J91">
        <v>17949</v>
      </c>
      <c r="K91">
        <v>0</v>
      </c>
      <c r="L91">
        <v>0</v>
      </c>
      <c r="M91">
        <v>497229</v>
      </c>
      <c r="N91">
        <v>160</v>
      </c>
      <c r="O91">
        <v>36983</v>
      </c>
      <c r="P91">
        <v>0</v>
      </c>
      <c r="Q91">
        <v>2200</v>
      </c>
      <c r="R91">
        <v>0</v>
      </c>
      <c r="S91">
        <v>9440</v>
      </c>
      <c r="T91">
        <v>283</v>
      </c>
      <c r="AH91">
        <v>0</v>
      </c>
    </row>
    <row r="92" spans="1:34">
      <c r="A92" s="39" t="s">
        <v>247</v>
      </c>
      <c r="B92" t="s">
        <v>350</v>
      </c>
      <c r="C92">
        <v>303554</v>
      </c>
      <c r="D92">
        <v>0</v>
      </c>
      <c r="E92">
        <v>0</v>
      </c>
      <c r="F92">
        <v>0</v>
      </c>
      <c r="G92">
        <v>28000</v>
      </c>
      <c r="H92">
        <v>9080</v>
      </c>
      <c r="I92">
        <v>56976</v>
      </c>
      <c r="J92">
        <v>14978</v>
      </c>
      <c r="K92">
        <v>0</v>
      </c>
      <c r="L92">
        <v>0</v>
      </c>
      <c r="M92">
        <v>412588</v>
      </c>
      <c r="O92">
        <v>31506</v>
      </c>
      <c r="P92">
        <v>0</v>
      </c>
      <c r="Q92">
        <v>1800</v>
      </c>
      <c r="R92">
        <v>0</v>
      </c>
      <c r="S92">
        <v>0</v>
      </c>
      <c r="T92">
        <v>0</v>
      </c>
      <c r="AH92">
        <v>0</v>
      </c>
    </row>
    <row r="93" spans="1:34">
      <c r="A93" s="38" t="s">
        <v>248</v>
      </c>
      <c r="B93" t="s">
        <v>351</v>
      </c>
      <c r="C93">
        <v>274450</v>
      </c>
      <c r="G93">
        <v>33120</v>
      </c>
      <c r="H93">
        <v>6840</v>
      </c>
      <c r="I93">
        <v>55587</v>
      </c>
      <c r="J93">
        <v>13034</v>
      </c>
      <c r="N93">
        <v>150</v>
      </c>
      <c r="O93">
        <v>26895</v>
      </c>
      <c r="Q93">
        <v>1630</v>
      </c>
      <c r="T93">
        <v>53</v>
      </c>
      <c r="AH93">
        <v>0</v>
      </c>
    </row>
    <row r="94" spans="1:34">
      <c r="A94" s="40" t="s">
        <v>249</v>
      </c>
      <c r="B94" t="s">
        <v>352</v>
      </c>
      <c r="C94">
        <v>318476</v>
      </c>
      <c r="D94">
        <v>0</v>
      </c>
      <c r="E94">
        <v>0</v>
      </c>
      <c r="F94">
        <v>0</v>
      </c>
      <c r="G94">
        <v>20400</v>
      </c>
      <c r="H94">
        <v>3544</v>
      </c>
      <c r="I94">
        <v>41664</v>
      </c>
      <c r="J94">
        <v>9274</v>
      </c>
      <c r="K94">
        <v>0</v>
      </c>
      <c r="L94">
        <v>0</v>
      </c>
      <c r="N94">
        <v>360</v>
      </c>
      <c r="O94">
        <v>9006</v>
      </c>
      <c r="P94">
        <v>0</v>
      </c>
      <c r="Q94">
        <v>1660</v>
      </c>
      <c r="R94">
        <v>0</v>
      </c>
      <c r="S94">
        <v>2470</v>
      </c>
      <c r="T94">
        <v>74</v>
      </c>
      <c r="V94">
        <v>13850</v>
      </c>
      <c r="AH94">
        <v>0</v>
      </c>
    </row>
  </sheetData>
  <sortState ref="A2:AM95">
    <sortCondition ref="B1"/>
  </sortState>
  <pageMargins left="0.70866141732283472" right="0.70866141732283472" top="0.74803149606299213" bottom="0.74803149606299213" header="0.31496062992125984" footer="0.31496062992125984"/>
  <pageSetup paperSize="9" scale="89" orientation="portrait" verticalDpi="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2018-05-31T05:07:38Z</dcterms:modified>
</cp:coreProperties>
</file>