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/>
  </bookViews>
  <sheets>
    <sheet name="FORM16" sheetId="2" r:id="rId1"/>
    <sheet name="Sheet1" sheetId="1" r:id="rId2"/>
  </sheets>
  <functionGroups/>
  <externalReferences>
    <externalReference r:id="rId3"/>
    <externalReference r:id="rId4"/>
    <externalReference r:id="rId5"/>
  </externalReferences>
  <definedNames>
    <definedName name="DropDownList">[1]SEARCH!$K$3:$K$21</definedName>
    <definedName name="_xlnm.Print_Area" localSheetId="0">FORM16!$A$1:$AH$105</definedName>
  </definedNames>
  <calcPr calcId="124519"/>
</workbook>
</file>

<file path=xl/calcChain.xml><?xml version="1.0" encoding="utf-8"?>
<calcChain xmlns="http://schemas.openxmlformats.org/spreadsheetml/2006/main">
  <c r="AD89" i="2"/>
  <c r="R73"/>
  <c r="X73" s="1"/>
  <c r="R72"/>
  <c r="X72" s="1"/>
  <c r="AD69"/>
  <c r="AD61" s="1"/>
  <c r="X61"/>
  <c r="X45"/>
  <c r="X40"/>
  <c r="X35"/>
  <c r="L35"/>
  <c r="L34"/>
  <c r="X30"/>
  <c r="X36" s="1"/>
  <c r="AD41" s="1"/>
  <c r="AD46" s="1"/>
  <c r="AA21"/>
  <c r="S21"/>
  <c r="B90"/>
  <c r="AD78"/>
  <c r="AD79" l="1"/>
  <c r="AD80" s="1"/>
  <c r="AD82" s="1"/>
  <c r="AD84" s="1"/>
  <c r="AD73"/>
  <c r="AD75"/>
  <c r="AD77" s="1"/>
  <c r="AJ77" s="1"/>
</calcChain>
</file>

<file path=xl/sharedStrings.xml><?xml version="1.0" encoding="utf-8"?>
<sst xmlns="http://schemas.openxmlformats.org/spreadsheetml/2006/main" count="241" uniqueCount="173">
  <si>
    <t>ID</t>
  </si>
  <si>
    <t>NAME</t>
  </si>
  <si>
    <t>EMPID</t>
  </si>
  <si>
    <t>PAN</t>
  </si>
  <si>
    <t>BASIC</t>
  </si>
  <si>
    <t>GP</t>
  </si>
  <si>
    <t>DA</t>
  </si>
  <si>
    <t>HRA</t>
  </si>
  <si>
    <t>TA</t>
  </si>
  <si>
    <t>DTA</t>
  </si>
  <si>
    <t>QP</t>
  </si>
  <si>
    <t>SP</t>
  </si>
  <si>
    <t>OTHER</t>
  </si>
  <si>
    <t>ROP</t>
  </si>
  <si>
    <t>ROP_TA</t>
  </si>
  <si>
    <t>gross</t>
  </si>
  <si>
    <t>rent</t>
  </si>
  <si>
    <t>hbi</t>
  </si>
  <si>
    <t>NPS</t>
  </si>
  <si>
    <t>LIC_I</t>
  </si>
  <si>
    <t>GIS</t>
  </si>
  <si>
    <t>CGHS</t>
  </si>
  <si>
    <t>PTAX</t>
  </si>
  <si>
    <t>ITAX</t>
  </si>
  <si>
    <t>CESS</t>
  </si>
  <si>
    <t>LIC_S</t>
  </si>
  <si>
    <t>PPF</t>
  </si>
  <si>
    <t>NPS_SELF</t>
  </si>
  <si>
    <t>HBL</t>
  </si>
  <si>
    <t>PLI</t>
  </si>
  <si>
    <t>NSC</t>
  </si>
  <si>
    <t>FD</t>
  </si>
  <si>
    <t>STAMP_DUTY</t>
  </si>
  <si>
    <t>ELSS</t>
  </si>
  <si>
    <t>TUTION</t>
  </si>
  <si>
    <t>OTHER_S</t>
  </si>
  <si>
    <t>HBI</t>
  </si>
  <si>
    <t>RENT_PAI</t>
  </si>
  <si>
    <t>MEDICLAIM</t>
  </si>
  <si>
    <t xml:space="preserve">FORM NO. 16 </t>
  </si>
  <si>
    <t>PART A</t>
  </si>
  <si>
    <t>Certificate under section 203 of the Income-tax Act, 1961 for tax deducted at source on Salary</t>
  </si>
  <si>
    <t xml:space="preserve">Name and address of the Employer </t>
  </si>
  <si>
    <t>Name and address of the Employee</t>
  </si>
  <si>
    <t xml:space="preserve">O/O THE PRINCIPAL ACCOUNTANT GENERAL </t>
  </si>
  <si>
    <t>(GENERAL AND SOCIAL SECTOR AUDIT), W.B.</t>
  </si>
  <si>
    <t xml:space="preserve">PAN of the Deductor </t>
  </si>
  <si>
    <t xml:space="preserve">TAN of the Deductor </t>
  </si>
  <si>
    <t xml:space="preserve">PAN of the Employee </t>
  </si>
  <si>
    <t>CALW00120B</t>
  </si>
  <si>
    <t xml:space="preserve">CIT(TDS) </t>
  </si>
  <si>
    <t>Assessment Year</t>
  </si>
  <si>
    <t xml:space="preserve">Period </t>
  </si>
  <si>
    <t>Address</t>
  </si>
  <si>
    <t>2017-18</t>
  </si>
  <si>
    <t>From</t>
  </si>
  <si>
    <t>To</t>
  </si>
  <si>
    <t>City</t>
  </si>
  <si>
    <t>Pin code</t>
  </si>
  <si>
    <t>Summary of tax deducted at source</t>
  </si>
  <si>
    <t xml:space="preserve">Quarter </t>
  </si>
  <si>
    <t>Receipt Numbers of original statements of TDS under sub-section (3) of section 200</t>
  </si>
  <si>
    <t>Amount of tax deducted in respect of the employee</t>
  </si>
  <si>
    <t>Amount of tax deposited/ remitted in respect of the employee</t>
  </si>
  <si>
    <t xml:space="preserve">Quarter 1 </t>
  </si>
  <si>
    <t>Quarter 2</t>
  </si>
  <si>
    <t>Quarter 3</t>
  </si>
  <si>
    <t>Quarter 4</t>
  </si>
  <si>
    <t>Total</t>
  </si>
  <si>
    <t>PART B (Refer Note 1)</t>
  </si>
  <si>
    <t xml:space="preserve"> Details of Salary paid and any other income and tax deducted</t>
  </si>
  <si>
    <t>1.</t>
  </si>
  <si>
    <t>Gross Salary</t>
  </si>
  <si>
    <t>(a)</t>
  </si>
  <si>
    <t xml:space="preserve"> Salary as per provisions contained in sec.17(1)</t>
  </si>
  <si>
    <t>Rs.</t>
  </si>
  <si>
    <t>(b)</t>
  </si>
  <si>
    <t xml:space="preserve"> Value of perquisites u/s 17(2) (as per
 Form No.12BA, wherever applicable)</t>
  </si>
  <si>
    <t>(c)</t>
  </si>
  <si>
    <t xml:space="preserve"> Profits in lieu of salary under section 17(3)
 (as per Form No.12BB, wherever applicable)</t>
  </si>
  <si>
    <t>(d)</t>
  </si>
  <si>
    <t>2.</t>
  </si>
  <si>
    <t xml:space="preserve"> Less: Allowance to the extent exempt u/s 10</t>
  </si>
  <si>
    <t>Allowance</t>
  </si>
  <si>
    <t>HOUSE RENT</t>
  </si>
  <si>
    <t>INTEREST ON HOME LOAN</t>
  </si>
  <si>
    <t>3.</t>
  </si>
  <si>
    <t>Balance (1-2)</t>
  </si>
  <si>
    <t>4.</t>
  </si>
  <si>
    <t>Deductions :</t>
  </si>
  <si>
    <t xml:space="preserve"> Entertainment allowance</t>
  </si>
  <si>
    <t xml:space="preserve"> Tax on employment</t>
  </si>
  <si>
    <t>5.</t>
  </si>
  <si>
    <t xml:space="preserve"> Aggregate of 4(a) and (b)</t>
  </si>
  <si>
    <t>6.</t>
  </si>
  <si>
    <t xml:space="preserve"> Income chargeable under the head 'salaries' (3-5)</t>
  </si>
  <si>
    <t>7.</t>
  </si>
  <si>
    <t xml:space="preserve">  Add: Any other income reported by the employee</t>
  </si>
  <si>
    <t>Income</t>
  </si>
  <si>
    <t>8.</t>
  </si>
  <si>
    <t xml:space="preserve"> Gross total income (6+7)</t>
  </si>
  <si>
    <t>9.</t>
  </si>
  <si>
    <t xml:space="preserve"> Deductions under Chapter VIA</t>
  </si>
  <si>
    <t xml:space="preserve"> (A) Sections 80C, 80CCC and 80CCD</t>
  </si>
  <si>
    <t xml:space="preserve"> (a)</t>
  </si>
  <si>
    <t xml:space="preserve"> Section 80C</t>
  </si>
  <si>
    <t xml:space="preserve"> Gross Amount</t>
  </si>
  <si>
    <t>Deductible Amount</t>
  </si>
  <si>
    <t>(i)</t>
  </si>
  <si>
    <t>(ii)</t>
  </si>
  <si>
    <t>LIFE INSURANCE</t>
  </si>
  <si>
    <t>(iii)</t>
  </si>
  <si>
    <t xml:space="preserve">FD </t>
  </si>
  <si>
    <t>(iv)</t>
  </si>
  <si>
    <t>(v)</t>
  </si>
  <si>
    <t>(vi)</t>
  </si>
  <si>
    <t>(vii)</t>
  </si>
  <si>
    <t>HBA</t>
  </si>
  <si>
    <t>(viii)</t>
  </si>
  <si>
    <t>Other</t>
  </si>
  <si>
    <t>Note:1</t>
  </si>
  <si>
    <t xml:space="preserve"> Aggregate amount deductible under section 
 80C shall not exceed 1.5 lakh rupees.</t>
  </si>
  <si>
    <t xml:space="preserve"> Aggregate amount deductible under the three
 sections, i.e., 80C, 80CCC and 80CCD shall
 not exceed 1.5 lakh rupees</t>
  </si>
  <si>
    <t>(B) 80CCD(1B) UPTO 50000/-</t>
  </si>
  <si>
    <t>TIER I NPS</t>
  </si>
  <si>
    <t xml:space="preserve">(C) </t>
  </si>
  <si>
    <t>Deduction u/s 80D</t>
  </si>
  <si>
    <t>MEDICLAM</t>
  </si>
  <si>
    <t>10.</t>
  </si>
  <si>
    <t xml:space="preserve">  Aggregate of deductible amount under Chapter VIA</t>
  </si>
  <si>
    <t>11.</t>
  </si>
  <si>
    <t xml:space="preserve">  Total Income (8-10)</t>
  </si>
  <si>
    <t>12.</t>
  </si>
  <si>
    <t xml:space="preserve">  Tax on total income</t>
  </si>
  <si>
    <t>13.</t>
  </si>
  <si>
    <t xml:space="preserve">  Education cess @ 3% (on tax computed at S. No. 12)</t>
  </si>
  <si>
    <t>14.</t>
  </si>
  <si>
    <t xml:space="preserve">  Tax Payable (12+13)</t>
  </si>
  <si>
    <t>15.</t>
  </si>
  <si>
    <t xml:space="preserve">  Less: Relief under section 89 (attach details)</t>
  </si>
  <si>
    <t>16.</t>
  </si>
  <si>
    <t xml:space="preserve">  Tax payable (14-15)</t>
  </si>
  <si>
    <t>17.</t>
  </si>
  <si>
    <t xml:space="preserve">  Tax deducted at source u/s 192</t>
  </si>
  <si>
    <t>18.</t>
  </si>
  <si>
    <t xml:space="preserve">  Balance ( 16-17 )</t>
  </si>
  <si>
    <t>Verification</t>
  </si>
  <si>
    <t xml:space="preserve"> I, </t>
  </si>
  <si>
    <t>RANI MAGDALENE EKKA</t>
  </si>
  <si>
    <t xml:space="preserve"> son/daughter of</t>
  </si>
  <si>
    <t>DONATUS BARA</t>
  </si>
  <si>
    <t>working in the capacity of</t>
  </si>
  <si>
    <t>D.D.O.</t>
  </si>
  <si>
    <t xml:space="preserve"> (designation) do hereby certify that a sum of Rs.</t>
  </si>
  <si>
    <t>[</t>
  </si>
  <si>
    <t>(in words)] has been deducted and deposited to the credit of</t>
  </si>
  <si>
    <t>the Central Government. I further certify that the information given about is true, complete and correct and is based on the books of</t>
  </si>
  <si>
    <t>account, documents, TDS statements, TDS deposited and other available records.</t>
  </si>
  <si>
    <t xml:space="preserve"> Place</t>
  </si>
  <si>
    <t>KOLKATA</t>
  </si>
  <si>
    <t xml:space="preserve"> Date</t>
  </si>
  <si>
    <t>16.04.2017</t>
  </si>
  <si>
    <t xml:space="preserve"> Designation</t>
  </si>
  <si>
    <t>SR AUDIT OFFICER</t>
  </si>
  <si>
    <t xml:space="preserve">  Full Name:</t>
  </si>
  <si>
    <t>Notes:</t>
  </si>
  <si>
    <t>If an assessee is employed under more than one employer during the year, each of the employers shall issue Part A of the certificate in Form No. 16 pertaining to the period for which such assessee was employed with each of the employers. Part B may be issued by each of the employers or the last employer at the option of the assessee.</t>
  </si>
  <si>
    <t>Government deductors to enclose Annexure-A if tax is paid without production of an income-tax challan and Annexure-B if tax is paid accompanied by an income-tax challan.</t>
  </si>
  <si>
    <t>Non-Government deductors to enclose Annexure-B.</t>
  </si>
  <si>
    <t xml:space="preserve">The deductor shall furnish the address of the Commissioner of Income-tax (TDS) having jurisdiction as regards </t>
  </si>
  <si>
    <t>TDS statements of the assessee.</t>
  </si>
  <si>
    <t>01.04.2017</t>
  </si>
  <si>
    <t>31.03.2018</t>
  </si>
</sst>
</file>

<file path=xl/styles.xml><?xml version="1.0" encoding="utf-8"?>
<styleSheet xmlns="http://schemas.openxmlformats.org/spreadsheetml/2006/main">
  <numFmts count="1">
    <numFmt numFmtId="164" formatCode="[$-409]d/mmm/yyyy;@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23"/>
      <name val="Arial"/>
    </font>
    <font>
      <b/>
      <sz val="1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7">
    <xf numFmtId="0" fontId="0" fillId="0" borderId="0"/>
    <xf numFmtId="0" fontId="2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180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0" fillId="2" borderId="0" xfId="0" applyFill="1"/>
    <xf numFmtId="0" fontId="0" fillId="3" borderId="0" xfId="0" applyFill="1"/>
    <xf numFmtId="0" fontId="2" fillId="4" borderId="0" xfId="1" applyFont="1" applyFill="1" applyAlignment="1">
      <alignment vertical="center"/>
    </xf>
    <xf numFmtId="49" fontId="2" fillId="0" borderId="18" xfId="1" applyNumberFormat="1" applyFont="1" applyBorder="1" applyAlignment="1">
      <alignment horizontal="center" vertical="center"/>
    </xf>
    <xf numFmtId="0" fontId="6" fillId="0" borderId="5" xfId="1" applyFont="1" applyBorder="1" applyAlignment="1">
      <alignment vertical="center"/>
    </xf>
    <xf numFmtId="0" fontId="2" fillId="0" borderId="5" xfId="1" applyFont="1" applyBorder="1" applyAlignment="1">
      <alignment vertical="center"/>
    </xf>
    <xf numFmtId="0" fontId="2" fillId="0" borderId="0" xfId="1" applyFont="1" applyBorder="1" applyAlignment="1">
      <alignment vertical="center"/>
    </xf>
    <xf numFmtId="0" fontId="6" fillId="0" borderId="18" xfId="1" applyFont="1" applyBorder="1" applyAlignment="1">
      <alignment vertical="center"/>
    </xf>
    <xf numFmtId="0" fontId="2" fillId="0" borderId="18" xfId="1" applyFont="1" applyBorder="1" applyAlignment="1">
      <alignment vertical="center"/>
    </xf>
    <xf numFmtId="49" fontId="2" fillId="0" borderId="8" xfId="1" applyNumberFormat="1" applyFont="1" applyBorder="1" applyAlignment="1">
      <alignment horizontal="center" vertical="center"/>
    </xf>
    <xf numFmtId="0" fontId="2" fillId="0" borderId="9" xfId="1" applyFont="1" applyBorder="1" applyAlignment="1">
      <alignment vertical="center"/>
    </xf>
    <xf numFmtId="0" fontId="2" fillId="0" borderId="10" xfId="1" applyFont="1" applyBorder="1" applyAlignment="1">
      <alignment vertical="center"/>
    </xf>
    <xf numFmtId="0" fontId="2" fillId="0" borderId="8" xfId="1" applyFont="1" applyBorder="1" applyAlignment="1">
      <alignment vertical="center"/>
    </xf>
    <xf numFmtId="49" fontId="2" fillId="0" borderId="5" xfId="1" applyNumberFormat="1" applyFont="1" applyBorder="1" applyAlignment="1">
      <alignment vertical="center"/>
    </xf>
    <xf numFmtId="0" fontId="2" fillId="0" borderId="6" xfId="1" applyFont="1" applyBorder="1" applyAlignment="1">
      <alignment vertical="center"/>
    </xf>
    <xf numFmtId="0" fontId="2" fillId="0" borderId="7" xfId="1" applyFont="1" applyBorder="1" applyAlignment="1">
      <alignment vertical="center"/>
    </xf>
    <xf numFmtId="49" fontId="2" fillId="0" borderId="18" xfId="1" applyNumberFormat="1" applyFont="1" applyBorder="1" applyAlignment="1">
      <alignment vertical="center"/>
    </xf>
    <xf numFmtId="0" fontId="2" fillId="0" borderId="0" xfId="1" applyFont="1" applyBorder="1" applyAlignment="1">
      <alignment vertical="top"/>
    </xf>
    <xf numFmtId="0" fontId="2" fillId="8" borderId="0" xfId="1" applyFont="1" applyFill="1" applyBorder="1" applyAlignment="1">
      <alignment vertical="center"/>
    </xf>
    <xf numFmtId="0" fontId="2" fillId="8" borderId="25" xfId="1" applyFont="1" applyFill="1" applyBorder="1" applyAlignment="1" applyProtection="1">
      <alignment vertical="center"/>
      <protection locked="0"/>
    </xf>
    <xf numFmtId="0" fontId="2" fillId="8" borderId="26" xfId="1" applyFont="1" applyFill="1" applyBorder="1" applyAlignment="1" applyProtection="1">
      <alignment vertical="center"/>
      <protection locked="0"/>
    </xf>
    <xf numFmtId="0" fontId="7" fillId="4" borderId="0" xfId="1" applyFont="1" applyFill="1" applyAlignment="1">
      <alignment vertical="center"/>
    </xf>
    <xf numFmtId="1" fontId="2" fillId="0" borderId="0" xfId="1" applyNumberFormat="1" applyFont="1" applyBorder="1" applyAlignment="1">
      <alignment vertical="center"/>
    </xf>
    <xf numFmtId="49" fontId="2" fillId="0" borderId="8" xfId="1" applyNumberFormat="1" applyFont="1" applyBorder="1" applyAlignment="1">
      <alignment vertical="center"/>
    </xf>
    <xf numFmtId="1" fontId="2" fillId="0" borderId="9" xfId="1" applyNumberFormat="1" applyFont="1" applyBorder="1" applyAlignment="1">
      <alignment vertical="center"/>
    </xf>
    <xf numFmtId="1" fontId="2" fillId="0" borderId="10" xfId="1" applyNumberFormat="1" applyFont="1" applyBorder="1" applyAlignment="1">
      <alignment vertical="center"/>
    </xf>
    <xf numFmtId="0" fontId="2" fillId="0" borderId="5" xfId="1" applyBorder="1"/>
    <xf numFmtId="0" fontId="2" fillId="0" borderId="18" xfId="1" applyBorder="1"/>
    <xf numFmtId="0" fontId="2" fillId="0" borderId="0" xfId="1" applyBorder="1"/>
    <xf numFmtId="0" fontId="2" fillId="0" borderId="19" xfId="1" applyFont="1" applyBorder="1" applyAlignment="1">
      <alignment vertical="center"/>
    </xf>
    <xf numFmtId="49" fontId="2" fillId="0" borderId="0" xfId="1" applyNumberFormat="1" applyFont="1" applyAlignment="1">
      <alignment vertical="center"/>
    </xf>
    <xf numFmtId="0" fontId="2" fillId="0" borderId="0" xfId="1" applyFont="1" applyAlignment="1">
      <alignment vertical="center"/>
    </xf>
    <xf numFmtId="49" fontId="5" fillId="0" borderId="0" xfId="1" applyNumberFormat="1" applyFont="1" applyAlignment="1">
      <alignment vertical="center"/>
    </xf>
    <xf numFmtId="49" fontId="5" fillId="0" borderId="0" xfId="1" applyNumberFormat="1" applyFont="1" applyAlignment="1">
      <alignment vertical="top"/>
    </xf>
    <xf numFmtId="0" fontId="5" fillId="0" borderId="0" xfId="1" applyFont="1" applyAlignment="1">
      <alignment vertical="center"/>
    </xf>
    <xf numFmtId="0" fontId="2" fillId="4" borderId="0" xfId="1" applyFill="1"/>
    <xf numFmtId="49" fontId="2" fillId="4" borderId="0" xfId="1" applyNumberFormat="1" applyFont="1" applyFill="1" applyAlignment="1">
      <alignment vertical="center"/>
    </xf>
    <xf numFmtId="49" fontId="2" fillId="0" borderId="1" xfId="1" applyNumberFormat="1" applyFont="1" applyBorder="1" applyAlignment="1">
      <alignment vertical="center"/>
    </xf>
    <xf numFmtId="0" fontId="2" fillId="5" borderId="2" xfId="1" applyFont="1" applyFill="1" applyBorder="1" applyAlignment="1" applyProtection="1">
      <alignment vertical="center"/>
      <protection locked="0"/>
    </xf>
    <xf numFmtId="0" fontId="2" fillId="5" borderId="3" xfId="1" applyFont="1" applyFill="1" applyBorder="1" applyAlignment="1" applyProtection="1">
      <alignment vertical="center"/>
      <protection locked="0"/>
    </xf>
    <xf numFmtId="0" fontId="2" fillId="5" borderId="4" xfId="1" applyFont="1" applyFill="1" applyBorder="1" applyAlignment="1" applyProtection="1">
      <alignment vertical="center"/>
      <protection locked="0"/>
    </xf>
    <xf numFmtId="0" fontId="2" fillId="0" borderId="1" xfId="1" applyFont="1" applyBorder="1" applyAlignment="1">
      <alignment vertical="center" wrapText="1"/>
    </xf>
    <xf numFmtId="0" fontId="5" fillId="5" borderId="1" xfId="1" applyFont="1" applyFill="1" applyBorder="1" applyAlignment="1" applyProtection="1">
      <alignment vertical="center"/>
      <protection locked="0"/>
    </xf>
    <xf numFmtId="0" fontId="5" fillId="0" borderId="0" xfId="1" applyFont="1" applyAlignment="1">
      <alignment horizontal="justify" vertical="top"/>
    </xf>
    <xf numFmtId="0" fontId="2" fillId="5" borderId="0" xfId="1" applyFont="1" applyFill="1" applyBorder="1" applyAlignment="1" applyProtection="1">
      <alignment vertical="center"/>
      <protection locked="0"/>
    </xf>
    <xf numFmtId="49" fontId="2" fillId="0" borderId="2" xfId="1" applyNumberFormat="1" applyFont="1" applyBorder="1" applyAlignment="1">
      <alignment vertical="center"/>
    </xf>
    <xf numFmtId="49" fontId="2" fillId="0" borderId="3" xfId="1" applyNumberFormat="1" applyFont="1" applyBorder="1" applyAlignment="1">
      <alignment vertical="center"/>
    </xf>
    <xf numFmtId="49" fontId="2" fillId="0" borderId="4" xfId="1" applyNumberFormat="1" applyFont="1" applyBorder="1" applyAlignment="1">
      <alignment vertical="center"/>
    </xf>
    <xf numFmtId="49" fontId="2" fillId="5" borderId="2" xfId="1" applyNumberFormat="1" applyFont="1" applyFill="1" applyBorder="1" applyAlignment="1" applyProtection="1">
      <alignment vertical="center"/>
      <protection locked="0"/>
    </xf>
    <xf numFmtId="49" fontId="2" fillId="5" borderId="3" xfId="1" applyNumberFormat="1" applyFont="1" applyFill="1" applyBorder="1" applyAlignment="1" applyProtection="1">
      <alignment vertical="center"/>
      <protection locked="0"/>
    </xf>
    <xf numFmtId="49" fontId="2" fillId="5" borderId="4" xfId="1" applyNumberFormat="1" applyFont="1" applyFill="1" applyBorder="1" applyAlignment="1" applyProtection="1">
      <alignment vertical="center"/>
      <protection locked="0"/>
    </xf>
    <xf numFmtId="0" fontId="2" fillId="0" borderId="5" xfId="1" applyFont="1" applyBorder="1" applyAlignment="1">
      <alignment horizontal="left" vertical="center"/>
    </xf>
    <xf numFmtId="0" fontId="2" fillId="0" borderId="6" xfId="1" applyFont="1" applyBorder="1" applyAlignment="1">
      <alignment horizontal="left" vertical="center"/>
    </xf>
    <xf numFmtId="0" fontId="2" fillId="0" borderId="8" xfId="1" applyFont="1" applyBorder="1" applyAlignment="1">
      <alignment horizontal="left" vertical="center"/>
    </xf>
    <xf numFmtId="0" fontId="2" fillId="0" borderId="9" xfId="1" applyFont="1" applyBorder="1" applyAlignment="1">
      <alignment horizontal="left" vertical="center"/>
    </xf>
    <xf numFmtId="49" fontId="8" fillId="0" borderId="1" xfId="1" applyNumberFormat="1" applyFont="1" applyBorder="1" applyAlignment="1">
      <alignment horizontal="center" vertical="center"/>
    </xf>
    <xf numFmtId="0" fontId="2" fillId="5" borderId="6" xfId="1" applyFill="1" applyBorder="1" applyProtection="1">
      <protection locked="0"/>
    </xf>
    <xf numFmtId="0" fontId="2" fillId="0" borderId="6" xfId="1" applyBorder="1" applyAlignment="1">
      <alignment horizontal="center"/>
    </xf>
    <xf numFmtId="0" fontId="2" fillId="5" borderId="7" xfId="1" applyFill="1" applyBorder="1" applyProtection="1">
      <protection locked="0"/>
    </xf>
    <xf numFmtId="0" fontId="2" fillId="5" borderId="0" xfId="1" applyFill="1" applyBorder="1" applyProtection="1">
      <protection locked="0"/>
    </xf>
    <xf numFmtId="0" fontId="2" fillId="0" borderId="0" xfId="1" applyBorder="1"/>
    <xf numFmtId="1" fontId="2" fillId="5" borderId="0" xfId="1" applyNumberFormat="1" applyFill="1" applyBorder="1" applyProtection="1">
      <protection locked="0"/>
    </xf>
    <xf numFmtId="0" fontId="2" fillId="5" borderId="19" xfId="1" applyFill="1" applyBorder="1" applyProtection="1">
      <protection locked="0"/>
    </xf>
    <xf numFmtId="0" fontId="2" fillId="0" borderId="0" xfId="1" applyFont="1" applyBorder="1" applyAlignment="1">
      <alignment vertical="center"/>
    </xf>
    <xf numFmtId="1" fontId="2" fillId="0" borderId="19" xfId="1" applyNumberFormat="1" applyFont="1" applyBorder="1" applyAlignment="1">
      <alignment vertical="center"/>
    </xf>
    <xf numFmtId="1" fontId="2" fillId="0" borderId="21" xfId="1" applyNumberFormat="1" applyFont="1" applyBorder="1" applyAlignment="1">
      <alignment vertical="center"/>
    </xf>
    <xf numFmtId="1" fontId="2" fillId="5" borderId="0" xfId="1" applyNumberFormat="1" applyFont="1" applyFill="1" applyBorder="1" applyAlignment="1" applyProtection="1">
      <alignment vertical="center"/>
      <protection locked="0"/>
    </xf>
    <xf numFmtId="1" fontId="2" fillId="5" borderId="19" xfId="1" applyNumberFormat="1" applyFont="1" applyFill="1" applyBorder="1" applyAlignment="1" applyProtection="1">
      <alignment vertical="center"/>
      <protection locked="0"/>
    </xf>
    <xf numFmtId="1" fontId="6" fillId="0" borderId="0" xfId="1" applyNumberFormat="1" applyFont="1" applyBorder="1" applyAlignment="1">
      <alignment vertical="center"/>
    </xf>
    <xf numFmtId="1" fontId="2" fillId="0" borderId="0" xfId="1" applyNumberFormat="1" applyFont="1" applyBorder="1" applyAlignment="1">
      <alignment vertical="center"/>
    </xf>
    <xf numFmtId="0" fontId="2" fillId="0" borderId="0" xfId="1" applyFont="1" applyBorder="1" applyAlignment="1">
      <alignment vertical="center" wrapText="1"/>
    </xf>
    <xf numFmtId="1" fontId="2" fillId="5" borderId="21" xfId="1" applyNumberFormat="1" applyFont="1" applyFill="1" applyBorder="1" applyAlignment="1" applyProtection="1">
      <alignment vertical="center"/>
      <protection locked="0"/>
    </xf>
    <xf numFmtId="1" fontId="2" fillId="0" borderId="0" xfId="1" applyNumberFormat="1" applyFont="1" applyBorder="1" applyAlignment="1" applyProtection="1">
      <alignment vertical="center"/>
    </xf>
    <xf numFmtId="1" fontId="2" fillId="0" borderId="19" xfId="1" applyNumberFormat="1" applyFont="1" applyBorder="1" applyAlignment="1" applyProtection="1">
      <alignment vertical="center"/>
    </xf>
    <xf numFmtId="0" fontId="2" fillId="0" borderId="0" xfId="1" applyFont="1" applyBorder="1" applyAlignment="1">
      <alignment horizontal="center" vertical="center"/>
    </xf>
    <xf numFmtId="0" fontId="2" fillId="5" borderId="23" xfId="1" applyFont="1" applyFill="1" applyBorder="1" applyAlignment="1" applyProtection="1">
      <alignment vertical="center"/>
      <protection locked="0"/>
    </xf>
    <xf numFmtId="0" fontId="2" fillId="5" borderId="24" xfId="1" applyFont="1" applyFill="1" applyBorder="1" applyAlignment="1" applyProtection="1">
      <alignment vertical="center"/>
      <protection locked="0"/>
    </xf>
    <xf numFmtId="0" fontId="2" fillId="0" borderId="0" xfId="1" applyFont="1" applyBorder="1" applyAlignment="1">
      <alignment horizontal="right" vertical="top"/>
    </xf>
    <xf numFmtId="0" fontId="2" fillId="0" borderId="0" xfId="1" applyFont="1" applyBorder="1" applyAlignment="1">
      <alignment vertical="top" wrapText="1"/>
    </xf>
    <xf numFmtId="0" fontId="2" fillId="0" borderId="0" xfId="1" applyFont="1" applyBorder="1" applyAlignment="1">
      <alignment vertical="top"/>
    </xf>
    <xf numFmtId="0" fontId="2" fillId="5" borderId="25" xfId="1" applyFont="1" applyFill="1" applyBorder="1" applyAlignment="1" applyProtection="1">
      <alignment vertical="center"/>
      <protection locked="0"/>
    </xf>
    <xf numFmtId="0" fontId="2" fillId="5" borderId="26" xfId="1" applyFont="1" applyFill="1" applyBorder="1" applyAlignment="1" applyProtection="1">
      <alignment vertical="center"/>
      <protection locked="0"/>
    </xf>
    <xf numFmtId="0" fontId="2" fillId="7" borderId="27" xfId="1" applyFont="1" applyFill="1" applyBorder="1" applyAlignment="1">
      <alignment vertical="center"/>
    </xf>
    <xf numFmtId="0" fontId="2" fillId="7" borderId="28" xfId="1" applyFont="1" applyFill="1" applyBorder="1" applyAlignment="1">
      <alignment vertical="center"/>
    </xf>
    <xf numFmtId="0" fontId="2" fillId="0" borderId="19" xfId="1" applyFont="1" applyBorder="1" applyAlignment="1">
      <alignment vertical="center"/>
    </xf>
    <xf numFmtId="0" fontId="2" fillId="0" borderId="21" xfId="1" applyFont="1" applyBorder="1" applyAlignment="1">
      <alignment vertical="center"/>
    </xf>
    <xf numFmtId="0" fontId="2" fillId="0" borderId="18" xfId="1" applyFont="1" applyBorder="1" applyAlignment="1">
      <alignment horizontal="center" vertical="center"/>
    </xf>
    <xf numFmtId="0" fontId="2" fillId="0" borderId="19" xfId="1" applyFont="1" applyBorder="1" applyAlignment="1">
      <alignment horizontal="center" vertical="center"/>
    </xf>
    <xf numFmtId="49" fontId="2" fillId="0" borderId="9" xfId="1" applyNumberFormat="1" applyFont="1" applyBorder="1" applyAlignment="1">
      <alignment vertical="center"/>
    </xf>
    <xf numFmtId="49" fontId="2" fillId="0" borderId="10" xfId="1" applyNumberFormat="1" applyFont="1" applyBorder="1" applyAlignment="1">
      <alignment vertical="center"/>
    </xf>
    <xf numFmtId="1" fontId="2" fillId="0" borderId="7" xfId="1" applyNumberFormat="1" applyFont="1" applyBorder="1" applyAlignment="1">
      <alignment vertical="center"/>
    </xf>
    <xf numFmtId="1" fontId="2" fillId="0" borderId="20" xfId="1" applyNumberFormat="1" applyFont="1" applyBorder="1" applyAlignment="1">
      <alignment vertical="center"/>
    </xf>
    <xf numFmtId="0" fontId="2" fillId="0" borderId="6" xfId="1" applyFont="1" applyBorder="1" applyAlignment="1">
      <alignment vertical="center"/>
    </xf>
    <xf numFmtId="0" fontId="2" fillId="0" borderId="7" xfId="1" applyFont="1" applyBorder="1" applyAlignment="1">
      <alignment vertical="center"/>
    </xf>
    <xf numFmtId="1" fontId="2" fillId="0" borderId="10" xfId="1" applyNumberFormat="1" applyFont="1" applyBorder="1" applyAlignment="1">
      <alignment vertical="center"/>
    </xf>
    <xf numFmtId="1" fontId="2" fillId="0" borderId="22" xfId="1" applyNumberFormat="1" applyFont="1" applyBorder="1" applyAlignment="1">
      <alignment vertical="center"/>
    </xf>
    <xf numFmtId="0" fontId="2" fillId="5" borderId="1" xfId="1" applyFont="1" applyFill="1" applyBorder="1" applyAlignment="1" applyProtection="1">
      <alignment vertical="center"/>
      <protection locked="0"/>
    </xf>
    <xf numFmtId="0" fontId="2" fillId="0" borderId="1" xfId="1" applyFont="1" applyBorder="1" applyAlignment="1">
      <alignment horizontal="center" vertical="center"/>
    </xf>
    <xf numFmtId="0" fontId="2" fillId="0" borderId="19" xfId="1" applyFont="1" applyBorder="1" applyAlignment="1">
      <alignment vertical="center" wrapText="1"/>
    </xf>
    <xf numFmtId="0" fontId="2" fillId="5" borderId="19" xfId="1" applyFont="1" applyFill="1" applyBorder="1" applyAlignment="1" applyProtection="1">
      <alignment vertical="center"/>
      <protection locked="0"/>
    </xf>
    <xf numFmtId="0" fontId="2" fillId="5" borderId="21" xfId="1" applyFont="1" applyFill="1" applyBorder="1" applyAlignment="1" applyProtection="1">
      <alignment vertical="center"/>
      <protection locked="0"/>
    </xf>
    <xf numFmtId="0" fontId="2" fillId="0" borderId="0" xfId="1" applyFont="1" applyBorder="1" applyAlignment="1">
      <alignment horizontal="justify" vertical="center" wrapText="1"/>
    </xf>
    <xf numFmtId="0" fontId="2" fillId="0" borderId="0" xfId="1" applyFont="1" applyBorder="1" applyAlignment="1">
      <alignment horizontal="justify" vertical="center"/>
    </xf>
    <xf numFmtId="0" fontId="2" fillId="0" borderId="19" xfId="1" applyFont="1" applyBorder="1" applyAlignment="1">
      <alignment horizontal="justify" vertical="center"/>
    </xf>
    <xf numFmtId="0" fontId="5" fillId="0" borderId="18" xfId="1" applyFont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0" fontId="5" fillId="0" borderId="19" xfId="1" applyFont="1" applyBorder="1" applyAlignment="1">
      <alignment horizontal="center" vertical="center"/>
    </xf>
    <xf numFmtId="0" fontId="5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2" fillId="0" borderId="20" xfId="1" applyFont="1" applyBorder="1" applyAlignment="1">
      <alignment vertical="center"/>
    </xf>
    <xf numFmtId="0" fontId="2" fillId="0" borderId="1" xfId="1" applyFont="1" applyBorder="1" applyAlignment="1" applyProtection="1">
      <alignment horizontal="center" vertical="center"/>
    </xf>
    <xf numFmtId="1" fontId="2" fillId="5" borderId="1" xfId="1" applyNumberFormat="1" applyFont="1" applyFill="1" applyBorder="1" applyAlignment="1" applyProtection="1">
      <alignment vertical="center"/>
      <protection locked="0"/>
    </xf>
    <xf numFmtId="0" fontId="5" fillId="0" borderId="1" xfId="1" applyFont="1" applyBorder="1" applyAlignment="1" applyProtection="1">
      <alignment horizontal="center" vertical="center"/>
    </xf>
    <xf numFmtId="0" fontId="2" fillId="6" borderId="1" xfId="1" applyFont="1" applyFill="1" applyBorder="1" applyAlignment="1" applyProtection="1">
      <alignment vertical="center"/>
      <protection locked="0"/>
    </xf>
    <xf numFmtId="1" fontId="2" fillId="0" borderId="1" xfId="1" applyNumberFormat="1" applyFont="1" applyBorder="1" applyAlignment="1" applyProtection="1">
      <alignment vertical="center"/>
      <protection locked="0"/>
    </xf>
    <xf numFmtId="0" fontId="5" fillId="0" borderId="5" xfId="1" applyFont="1" applyBorder="1" applyAlignment="1">
      <alignment horizontal="center" vertical="top" wrapText="1"/>
    </xf>
    <xf numFmtId="0" fontId="5" fillId="0" borderId="6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center" vertical="top" wrapText="1"/>
    </xf>
    <xf numFmtId="0" fontId="5" fillId="0" borderId="18" xfId="1" applyFont="1" applyBorder="1" applyAlignment="1">
      <alignment horizontal="center" vertical="top" wrapText="1"/>
    </xf>
    <xf numFmtId="0" fontId="5" fillId="0" borderId="0" xfId="1" applyFont="1" applyBorder="1" applyAlignment="1">
      <alignment horizontal="center" vertical="top" wrapText="1"/>
    </xf>
    <xf numFmtId="0" fontId="5" fillId="0" borderId="19" xfId="1" applyFont="1" applyBorder="1" applyAlignment="1">
      <alignment horizontal="center" vertical="top" wrapText="1"/>
    </xf>
    <xf numFmtId="0" fontId="5" fillId="0" borderId="8" xfId="1" applyFont="1" applyBorder="1" applyAlignment="1">
      <alignment horizontal="center" vertical="top" wrapText="1"/>
    </xf>
    <xf numFmtId="0" fontId="5" fillId="0" borderId="9" xfId="1" applyFont="1" applyBorder="1" applyAlignment="1">
      <alignment horizontal="center" vertical="top" wrapText="1"/>
    </xf>
    <xf numFmtId="0" fontId="5" fillId="0" borderId="10" xfId="1" applyFont="1" applyBorder="1" applyAlignment="1">
      <alignment horizontal="center" vertical="top" wrapText="1"/>
    </xf>
    <xf numFmtId="0" fontId="6" fillId="5" borderId="9" xfId="1" applyFont="1" applyFill="1" applyBorder="1" applyAlignment="1" applyProtection="1">
      <alignment vertical="center"/>
      <protection locked="0"/>
    </xf>
    <xf numFmtId="0" fontId="6" fillId="0" borderId="16" xfId="1" applyFont="1" applyBorder="1" applyAlignment="1">
      <alignment horizontal="center" vertical="center"/>
    </xf>
    <xf numFmtId="0" fontId="6" fillId="5" borderId="16" xfId="1" applyFont="1" applyFill="1" applyBorder="1" applyAlignment="1" applyProtection="1">
      <alignment vertical="center"/>
      <protection locked="0"/>
    </xf>
    <xf numFmtId="0" fontId="6" fillId="5" borderId="17" xfId="1" applyFont="1" applyFill="1" applyBorder="1" applyAlignment="1" applyProtection="1">
      <alignment vertical="center"/>
      <protection locked="0"/>
    </xf>
    <xf numFmtId="164" fontId="6" fillId="5" borderId="2" xfId="1" applyNumberFormat="1" applyFont="1" applyFill="1" applyBorder="1" applyAlignment="1" applyProtection="1">
      <alignment horizontal="center" vertical="center"/>
      <protection locked="0"/>
    </xf>
    <xf numFmtId="164" fontId="6" fillId="5" borderId="3" xfId="1" applyNumberFormat="1" applyFont="1" applyFill="1" applyBorder="1" applyAlignment="1" applyProtection="1">
      <alignment horizontal="center" vertical="center"/>
      <protection locked="0"/>
    </xf>
    <xf numFmtId="164" fontId="6" fillId="5" borderId="4" xfId="1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 wrapText="1"/>
    </xf>
    <xf numFmtId="0" fontId="5" fillId="0" borderId="3" xfId="1" applyFont="1" applyBorder="1" applyAlignment="1">
      <alignment horizontal="center" vertical="center" wrapText="1"/>
    </xf>
    <xf numFmtId="0" fontId="5" fillId="0" borderId="4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/>
    </xf>
    <xf numFmtId="0" fontId="5" fillId="0" borderId="6" xfId="1" applyFont="1" applyBorder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horizontal="center" vertical="center"/>
    </xf>
    <xf numFmtId="0" fontId="5" fillId="0" borderId="9" xfId="1" applyFont="1" applyBorder="1" applyAlignment="1">
      <alignment horizontal="center" vertical="center"/>
    </xf>
    <xf numFmtId="0" fontId="5" fillId="0" borderId="10" xfId="1" applyFont="1" applyBorder="1" applyAlignment="1">
      <alignment horizontal="center" vertical="center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6" fillId="5" borderId="11" xfId="1" applyFont="1" applyFill="1" applyBorder="1" applyAlignment="1" applyProtection="1">
      <alignment horizontal="center" vertical="center" wrapText="1"/>
      <protection locked="0"/>
    </xf>
    <xf numFmtId="0" fontId="6" fillId="5" borderId="12" xfId="1" applyFont="1" applyFill="1" applyBorder="1" applyAlignment="1" applyProtection="1">
      <alignment horizontal="center" vertical="center" wrapText="1"/>
      <protection locked="0"/>
    </xf>
    <xf numFmtId="0" fontId="6" fillId="5" borderId="13" xfId="1" applyFont="1" applyFill="1" applyBorder="1" applyAlignment="1" applyProtection="1">
      <alignment vertical="center"/>
      <protection locked="0"/>
    </xf>
    <xf numFmtId="0" fontId="6" fillId="5" borderId="14" xfId="1" applyFont="1" applyFill="1" applyBorder="1" applyAlignment="1" applyProtection="1">
      <alignment vertical="center"/>
      <protection locked="0"/>
    </xf>
    <xf numFmtId="0" fontId="6" fillId="5" borderId="15" xfId="1" applyFont="1" applyFill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</xf>
    <xf numFmtId="0" fontId="5" fillId="0" borderId="6" xfId="1" applyFont="1" applyBorder="1" applyAlignment="1" applyProtection="1">
      <alignment horizontal="center" vertical="center"/>
    </xf>
    <xf numFmtId="0" fontId="5" fillId="0" borderId="7" xfId="1" applyFont="1" applyBorder="1" applyAlignment="1" applyProtection="1">
      <alignment horizontal="center" vertical="center"/>
    </xf>
    <xf numFmtId="0" fontId="5" fillId="0" borderId="8" xfId="1" applyFont="1" applyBorder="1" applyAlignment="1" applyProtection="1">
      <alignment horizontal="center" vertical="center"/>
    </xf>
    <xf numFmtId="0" fontId="5" fillId="0" borderId="9" xfId="1" applyFont="1" applyBorder="1" applyAlignment="1" applyProtection="1">
      <alignment horizontal="center" vertical="center"/>
    </xf>
    <xf numFmtId="0" fontId="5" fillId="0" borderId="10" xfId="1" applyFont="1" applyBorder="1" applyAlignment="1" applyProtection="1">
      <alignment horizontal="center" vertical="center"/>
    </xf>
    <xf numFmtId="0" fontId="6" fillId="0" borderId="8" xfId="1" applyFont="1" applyBorder="1" applyAlignment="1">
      <alignment vertical="center"/>
    </xf>
    <xf numFmtId="0" fontId="6" fillId="0" borderId="9" xfId="1" applyFont="1" applyBorder="1" applyAlignment="1">
      <alignment vertical="center"/>
    </xf>
    <xf numFmtId="0" fontId="5" fillId="5" borderId="8" xfId="1" applyFont="1" applyFill="1" applyBorder="1" applyAlignment="1" applyProtection="1">
      <alignment horizontal="left" vertical="center"/>
      <protection locked="0"/>
    </xf>
    <xf numFmtId="0" fontId="5" fillId="5" borderId="9" xfId="1" applyFont="1" applyFill="1" applyBorder="1" applyAlignment="1" applyProtection="1">
      <alignment horizontal="left" vertical="center"/>
      <protection locked="0"/>
    </xf>
    <xf numFmtId="0" fontId="5" fillId="5" borderId="8" xfId="1" applyFont="1" applyFill="1" applyBorder="1" applyAlignment="1" applyProtection="1">
      <alignment horizontal="center" vertical="center"/>
      <protection locked="0"/>
    </xf>
    <xf numFmtId="0" fontId="5" fillId="5" borderId="9" xfId="1" applyFont="1" applyFill="1" applyBorder="1" applyAlignment="1" applyProtection="1">
      <alignment horizontal="center" vertical="center"/>
      <protection locked="0"/>
    </xf>
    <xf numFmtId="0" fontId="5" fillId="5" borderId="10" xfId="1" applyFont="1" applyFill="1" applyBorder="1" applyAlignment="1" applyProtection="1">
      <alignment horizontal="center" vertical="center"/>
      <protection locked="0"/>
    </xf>
    <xf numFmtId="0" fontId="5" fillId="0" borderId="1" xfId="1" applyFont="1" applyBorder="1" applyAlignment="1">
      <alignment horizontal="center" vertical="center"/>
    </xf>
    <xf numFmtId="0" fontId="5" fillId="5" borderId="2" xfId="1" applyFont="1" applyFill="1" applyBorder="1" applyAlignment="1" applyProtection="1">
      <alignment vertical="center"/>
      <protection locked="0"/>
    </xf>
    <xf numFmtId="0" fontId="5" fillId="5" borderId="3" xfId="1" applyFont="1" applyFill="1" applyBorder="1" applyAlignment="1" applyProtection="1">
      <alignment vertical="center"/>
      <protection locked="0"/>
    </xf>
    <xf numFmtId="0" fontId="5" fillId="5" borderId="2" xfId="1" applyFont="1" applyFill="1" applyBorder="1" applyAlignment="1" applyProtection="1">
      <alignment horizontal="center" vertical="center"/>
      <protection locked="0"/>
    </xf>
    <xf numFmtId="0" fontId="5" fillId="5" borderId="3" xfId="1" applyFont="1" applyFill="1" applyBorder="1" applyAlignment="1" applyProtection="1">
      <alignment horizontal="center" vertical="center"/>
      <protection locked="0"/>
    </xf>
    <xf numFmtId="0" fontId="5" fillId="5" borderId="4" xfId="1" applyFont="1" applyFill="1" applyBorder="1" applyAlignment="1" applyProtection="1">
      <alignment horizontal="center" vertical="center"/>
      <protection locked="0"/>
    </xf>
    <xf numFmtId="0" fontId="5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5" borderId="5" xfId="1" applyFont="1" applyFill="1" applyBorder="1" applyAlignment="1" applyProtection="1">
      <alignment horizontal="left" vertical="center"/>
      <protection locked="0"/>
    </xf>
    <xf numFmtId="0" fontId="5" fillId="5" borderId="6" xfId="1" applyFont="1" applyFill="1" applyBorder="1" applyAlignment="1" applyProtection="1">
      <alignment horizontal="left" vertical="center"/>
      <protection locked="0"/>
    </xf>
    <xf numFmtId="0" fontId="5" fillId="5" borderId="5" xfId="1" applyFont="1" applyFill="1" applyBorder="1" applyAlignment="1" applyProtection="1">
      <alignment horizontal="center" vertical="center"/>
      <protection locked="0"/>
    </xf>
    <xf numFmtId="0" fontId="5" fillId="5" borderId="6" xfId="1" applyFont="1" applyFill="1" applyBorder="1" applyAlignment="1" applyProtection="1">
      <alignment horizontal="center" vertical="center"/>
      <protection locked="0"/>
    </xf>
    <xf numFmtId="0" fontId="5" fillId="5" borderId="7" xfId="1" applyFont="1" applyFill="1" applyBorder="1" applyAlignment="1" applyProtection="1">
      <alignment horizontal="center" vertical="center"/>
      <protection locked="0"/>
    </xf>
  </cellXfs>
  <cellStyles count="7">
    <cellStyle name="Normal" xfId="0" builtinId="0"/>
    <cellStyle name="Normal 2" xfId="1"/>
    <cellStyle name="Normal 2 2" xfId="2"/>
    <cellStyle name="Normal 2 3" xfId="3"/>
    <cellStyle name="Normal 3" xfId="4"/>
    <cellStyle name="Normal 3 2" xfId="5"/>
    <cellStyle name="Normal 5" xfId="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/xlsm/ITCALC20151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OM3_ADMIN2/My%20Documents/Downloads/16ay1516%20(1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p1/AppData/Roaming/Microsoft/AddIns/Text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JAN"/>
      <sheetName val="FEB"/>
      <sheetName val="OTHER"/>
      <sheetName val="SEARCH"/>
      <sheetName val="FORM16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K3" t="str">
            <v>NAVEEN KUMAR BARAK</v>
          </cell>
        </row>
        <row r="4">
          <cell r="K4" t="str">
            <v/>
          </cell>
        </row>
        <row r="5">
          <cell r="K5" t="str">
            <v/>
          </cell>
        </row>
        <row r="6">
          <cell r="K6" t="str">
            <v/>
          </cell>
        </row>
        <row r="7">
          <cell r="K7">
            <v>0</v>
          </cell>
        </row>
        <row r="8">
          <cell r="K8">
            <v>0</v>
          </cell>
        </row>
        <row r="9">
          <cell r="K9">
            <v>0</v>
          </cell>
        </row>
        <row r="10">
          <cell r="K10">
            <v>0</v>
          </cell>
        </row>
        <row r="11">
          <cell r="K11">
            <v>0</v>
          </cell>
        </row>
        <row r="12">
          <cell r="K12">
            <v>0</v>
          </cell>
        </row>
        <row r="13">
          <cell r="K13">
            <v>0</v>
          </cell>
        </row>
        <row r="14">
          <cell r="K14">
            <v>0</v>
          </cell>
        </row>
        <row r="15">
          <cell r="K15">
            <v>0</v>
          </cell>
        </row>
        <row r="16">
          <cell r="K16">
            <v>0</v>
          </cell>
        </row>
        <row r="17">
          <cell r="K17">
            <v>0</v>
          </cell>
        </row>
        <row r="18">
          <cell r="K18">
            <v>0</v>
          </cell>
        </row>
        <row r="19">
          <cell r="K19">
            <v>0</v>
          </cell>
        </row>
        <row r="20">
          <cell r="K20">
            <v>0</v>
          </cell>
        </row>
        <row r="21">
          <cell r="K21">
            <v>0</v>
          </cell>
        </row>
        <row r="28">
          <cell r="V28">
            <v>0</v>
          </cell>
        </row>
        <row r="29">
          <cell r="V29">
            <v>0</v>
          </cell>
        </row>
        <row r="50">
          <cell r="S50">
            <v>0</v>
          </cell>
        </row>
        <row r="51">
          <cell r="S51">
            <v>0</v>
          </cell>
        </row>
      </sheetData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TDS Form 16 AY 2015-16"/>
      <sheetName val="Sheet2"/>
    </sheetNames>
    <sheetDataSet>
      <sheetData sheetId="0"/>
      <sheetData sheetId="1">
        <row r="2">
          <cell r="A2">
            <v>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PELLNUMBE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7"/>
  <dimension ref="A1:DE302"/>
  <sheetViews>
    <sheetView showGridLines="0" tabSelected="1" workbookViewId="0">
      <selection activeCell="AK14" sqref="AK14"/>
    </sheetView>
  </sheetViews>
  <sheetFormatPr defaultColWidth="2.7109375" defaultRowHeight="12.75"/>
  <cols>
    <col min="1" max="1" width="3.28515625" style="34" customWidth="1"/>
    <col min="2" max="34" width="3.28515625" style="35" customWidth="1"/>
    <col min="35" max="35" width="2.7109375" style="6" customWidth="1"/>
    <col min="36" max="36" width="9.42578125" style="6" customWidth="1"/>
    <col min="37" max="109" width="2.7109375" style="6" customWidth="1"/>
    <col min="110" max="256" width="2.7109375" style="35"/>
    <col min="257" max="290" width="3.28515625" style="35" customWidth="1"/>
    <col min="291" max="291" width="2.7109375" style="35" customWidth="1"/>
    <col min="292" max="292" width="9.42578125" style="35" customWidth="1"/>
    <col min="293" max="365" width="2.7109375" style="35" customWidth="1"/>
    <col min="366" max="512" width="2.7109375" style="35"/>
    <col min="513" max="546" width="3.28515625" style="35" customWidth="1"/>
    <col min="547" max="547" width="2.7109375" style="35" customWidth="1"/>
    <col min="548" max="548" width="9.42578125" style="35" customWidth="1"/>
    <col min="549" max="621" width="2.7109375" style="35" customWidth="1"/>
    <col min="622" max="768" width="2.7109375" style="35"/>
    <col min="769" max="802" width="3.28515625" style="35" customWidth="1"/>
    <col min="803" max="803" width="2.7109375" style="35" customWidth="1"/>
    <col min="804" max="804" width="9.42578125" style="35" customWidth="1"/>
    <col min="805" max="877" width="2.7109375" style="35" customWidth="1"/>
    <col min="878" max="1024" width="2.7109375" style="35"/>
    <col min="1025" max="1058" width="3.28515625" style="35" customWidth="1"/>
    <col min="1059" max="1059" width="2.7109375" style="35" customWidth="1"/>
    <col min="1060" max="1060" width="9.42578125" style="35" customWidth="1"/>
    <col min="1061" max="1133" width="2.7109375" style="35" customWidth="1"/>
    <col min="1134" max="1280" width="2.7109375" style="35"/>
    <col min="1281" max="1314" width="3.28515625" style="35" customWidth="1"/>
    <col min="1315" max="1315" width="2.7109375" style="35" customWidth="1"/>
    <col min="1316" max="1316" width="9.42578125" style="35" customWidth="1"/>
    <col min="1317" max="1389" width="2.7109375" style="35" customWidth="1"/>
    <col min="1390" max="1536" width="2.7109375" style="35"/>
    <col min="1537" max="1570" width="3.28515625" style="35" customWidth="1"/>
    <col min="1571" max="1571" width="2.7109375" style="35" customWidth="1"/>
    <col min="1572" max="1572" width="9.42578125" style="35" customWidth="1"/>
    <col min="1573" max="1645" width="2.7109375" style="35" customWidth="1"/>
    <col min="1646" max="1792" width="2.7109375" style="35"/>
    <col min="1793" max="1826" width="3.28515625" style="35" customWidth="1"/>
    <col min="1827" max="1827" width="2.7109375" style="35" customWidth="1"/>
    <col min="1828" max="1828" width="9.42578125" style="35" customWidth="1"/>
    <col min="1829" max="1901" width="2.7109375" style="35" customWidth="1"/>
    <col min="1902" max="2048" width="2.7109375" style="35"/>
    <col min="2049" max="2082" width="3.28515625" style="35" customWidth="1"/>
    <col min="2083" max="2083" width="2.7109375" style="35" customWidth="1"/>
    <col min="2084" max="2084" width="9.42578125" style="35" customWidth="1"/>
    <col min="2085" max="2157" width="2.7109375" style="35" customWidth="1"/>
    <col min="2158" max="2304" width="2.7109375" style="35"/>
    <col min="2305" max="2338" width="3.28515625" style="35" customWidth="1"/>
    <col min="2339" max="2339" width="2.7109375" style="35" customWidth="1"/>
    <col min="2340" max="2340" width="9.42578125" style="35" customWidth="1"/>
    <col min="2341" max="2413" width="2.7109375" style="35" customWidth="1"/>
    <col min="2414" max="2560" width="2.7109375" style="35"/>
    <col min="2561" max="2594" width="3.28515625" style="35" customWidth="1"/>
    <col min="2595" max="2595" width="2.7109375" style="35" customWidth="1"/>
    <col min="2596" max="2596" width="9.42578125" style="35" customWidth="1"/>
    <col min="2597" max="2669" width="2.7109375" style="35" customWidth="1"/>
    <col min="2670" max="2816" width="2.7109375" style="35"/>
    <col min="2817" max="2850" width="3.28515625" style="35" customWidth="1"/>
    <col min="2851" max="2851" width="2.7109375" style="35" customWidth="1"/>
    <col min="2852" max="2852" width="9.42578125" style="35" customWidth="1"/>
    <col min="2853" max="2925" width="2.7109375" style="35" customWidth="1"/>
    <col min="2926" max="3072" width="2.7109375" style="35"/>
    <col min="3073" max="3106" width="3.28515625" style="35" customWidth="1"/>
    <col min="3107" max="3107" width="2.7109375" style="35" customWidth="1"/>
    <col min="3108" max="3108" width="9.42578125" style="35" customWidth="1"/>
    <col min="3109" max="3181" width="2.7109375" style="35" customWidth="1"/>
    <col min="3182" max="3328" width="2.7109375" style="35"/>
    <col min="3329" max="3362" width="3.28515625" style="35" customWidth="1"/>
    <col min="3363" max="3363" width="2.7109375" style="35" customWidth="1"/>
    <col min="3364" max="3364" width="9.42578125" style="35" customWidth="1"/>
    <col min="3365" max="3437" width="2.7109375" style="35" customWidth="1"/>
    <col min="3438" max="3584" width="2.7109375" style="35"/>
    <col min="3585" max="3618" width="3.28515625" style="35" customWidth="1"/>
    <col min="3619" max="3619" width="2.7109375" style="35" customWidth="1"/>
    <col min="3620" max="3620" width="9.42578125" style="35" customWidth="1"/>
    <col min="3621" max="3693" width="2.7109375" style="35" customWidth="1"/>
    <col min="3694" max="3840" width="2.7109375" style="35"/>
    <col min="3841" max="3874" width="3.28515625" style="35" customWidth="1"/>
    <col min="3875" max="3875" width="2.7109375" style="35" customWidth="1"/>
    <col min="3876" max="3876" width="9.42578125" style="35" customWidth="1"/>
    <col min="3877" max="3949" width="2.7109375" style="35" customWidth="1"/>
    <col min="3950" max="4096" width="2.7109375" style="35"/>
    <col min="4097" max="4130" width="3.28515625" style="35" customWidth="1"/>
    <col min="4131" max="4131" width="2.7109375" style="35" customWidth="1"/>
    <col min="4132" max="4132" width="9.42578125" style="35" customWidth="1"/>
    <col min="4133" max="4205" width="2.7109375" style="35" customWidth="1"/>
    <col min="4206" max="4352" width="2.7109375" style="35"/>
    <col min="4353" max="4386" width="3.28515625" style="35" customWidth="1"/>
    <col min="4387" max="4387" width="2.7109375" style="35" customWidth="1"/>
    <col min="4388" max="4388" width="9.42578125" style="35" customWidth="1"/>
    <col min="4389" max="4461" width="2.7109375" style="35" customWidth="1"/>
    <col min="4462" max="4608" width="2.7109375" style="35"/>
    <col min="4609" max="4642" width="3.28515625" style="35" customWidth="1"/>
    <col min="4643" max="4643" width="2.7109375" style="35" customWidth="1"/>
    <col min="4644" max="4644" width="9.42578125" style="35" customWidth="1"/>
    <col min="4645" max="4717" width="2.7109375" style="35" customWidth="1"/>
    <col min="4718" max="4864" width="2.7109375" style="35"/>
    <col min="4865" max="4898" width="3.28515625" style="35" customWidth="1"/>
    <col min="4899" max="4899" width="2.7109375" style="35" customWidth="1"/>
    <col min="4900" max="4900" width="9.42578125" style="35" customWidth="1"/>
    <col min="4901" max="4973" width="2.7109375" style="35" customWidth="1"/>
    <col min="4974" max="5120" width="2.7109375" style="35"/>
    <col min="5121" max="5154" width="3.28515625" style="35" customWidth="1"/>
    <col min="5155" max="5155" width="2.7109375" style="35" customWidth="1"/>
    <col min="5156" max="5156" width="9.42578125" style="35" customWidth="1"/>
    <col min="5157" max="5229" width="2.7109375" style="35" customWidth="1"/>
    <col min="5230" max="5376" width="2.7109375" style="35"/>
    <col min="5377" max="5410" width="3.28515625" style="35" customWidth="1"/>
    <col min="5411" max="5411" width="2.7109375" style="35" customWidth="1"/>
    <col min="5412" max="5412" width="9.42578125" style="35" customWidth="1"/>
    <col min="5413" max="5485" width="2.7109375" style="35" customWidth="1"/>
    <col min="5486" max="5632" width="2.7109375" style="35"/>
    <col min="5633" max="5666" width="3.28515625" style="35" customWidth="1"/>
    <col min="5667" max="5667" width="2.7109375" style="35" customWidth="1"/>
    <col min="5668" max="5668" width="9.42578125" style="35" customWidth="1"/>
    <col min="5669" max="5741" width="2.7109375" style="35" customWidth="1"/>
    <col min="5742" max="5888" width="2.7109375" style="35"/>
    <col min="5889" max="5922" width="3.28515625" style="35" customWidth="1"/>
    <col min="5923" max="5923" width="2.7109375" style="35" customWidth="1"/>
    <col min="5924" max="5924" width="9.42578125" style="35" customWidth="1"/>
    <col min="5925" max="5997" width="2.7109375" style="35" customWidth="1"/>
    <col min="5998" max="6144" width="2.7109375" style="35"/>
    <col min="6145" max="6178" width="3.28515625" style="35" customWidth="1"/>
    <col min="6179" max="6179" width="2.7109375" style="35" customWidth="1"/>
    <col min="6180" max="6180" width="9.42578125" style="35" customWidth="1"/>
    <col min="6181" max="6253" width="2.7109375" style="35" customWidth="1"/>
    <col min="6254" max="6400" width="2.7109375" style="35"/>
    <col min="6401" max="6434" width="3.28515625" style="35" customWidth="1"/>
    <col min="6435" max="6435" width="2.7109375" style="35" customWidth="1"/>
    <col min="6436" max="6436" width="9.42578125" style="35" customWidth="1"/>
    <col min="6437" max="6509" width="2.7109375" style="35" customWidth="1"/>
    <col min="6510" max="6656" width="2.7109375" style="35"/>
    <col min="6657" max="6690" width="3.28515625" style="35" customWidth="1"/>
    <col min="6691" max="6691" width="2.7109375" style="35" customWidth="1"/>
    <col min="6692" max="6692" width="9.42578125" style="35" customWidth="1"/>
    <col min="6693" max="6765" width="2.7109375" style="35" customWidth="1"/>
    <col min="6766" max="6912" width="2.7109375" style="35"/>
    <col min="6913" max="6946" width="3.28515625" style="35" customWidth="1"/>
    <col min="6947" max="6947" width="2.7109375" style="35" customWidth="1"/>
    <col min="6948" max="6948" width="9.42578125" style="35" customWidth="1"/>
    <col min="6949" max="7021" width="2.7109375" style="35" customWidth="1"/>
    <col min="7022" max="7168" width="2.7109375" style="35"/>
    <col min="7169" max="7202" width="3.28515625" style="35" customWidth="1"/>
    <col min="7203" max="7203" width="2.7109375" style="35" customWidth="1"/>
    <col min="7204" max="7204" width="9.42578125" style="35" customWidth="1"/>
    <col min="7205" max="7277" width="2.7109375" style="35" customWidth="1"/>
    <col min="7278" max="7424" width="2.7109375" style="35"/>
    <col min="7425" max="7458" width="3.28515625" style="35" customWidth="1"/>
    <col min="7459" max="7459" width="2.7109375" style="35" customWidth="1"/>
    <col min="7460" max="7460" width="9.42578125" style="35" customWidth="1"/>
    <col min="7461" max="7533" width="2.7109375" style="35" customWidth="1"/>
    <col min="7534" max="7680" width="2.7109375" style="35"/>
    <col min="7681" max="7714" width="3.28515625" style="35" customWidth="1"/>
    <col min="7715" max="7715" width="2.7109375" style="35" customWidth="1"/>
    <col min="7716" max="7716" width="9.42578125" style="35" customWidth="1"/>
    <col min="7717" max="7789" width="2.7109375" style="35" customWidth="1"/>
    <col min="7790" max="7936" width="2.7109375" style="35"/>
    <col min="7937" max="7970" width="3.28515625" style="35" customWidth="1"/>
    <col min="7971" max="7971" width="2.7109375" style="35" customWidth="1"/>
    <col min="7972" max="7972" width="9.42578125" style="35" customWidth="1"/>
    <col min="7973" max="8045" width="2.7109375" style="35" customWidth="1"/>
    <col min="8046" max="8192" width="2.7109375" style="35"/>
    <col min="8193" max="8226" width="3.28515625" style="35" customWidth="1"/>
    <col min="8227" max="8227" width="2.7109375" style="35" customWidth="1"/>
    <col min="8228" max="8228" width="9.42578125" style="35" customWidth="1"/>
    <col min="8229" max="8301" width="2.7109375" style="35" customWidth="1"/>
    <col min="8302" max="8448" width="2.7109375" style="35"/>
    <col min="8449" max="8482" width="3.28515625" style="35" customWidth="1"/>
    <col min="8483" max="8483" width="2.7109375" style="35" customWidth="1"/>
    <col min="8484" max="8484" width="9.42578125" style="35" customWidth="1"/>
    <col min="8485" max="8557" width="2.7109375" style="35" customWidth="1"/>
    <col min="8558" max="8704" width="2.7109375" style="35"/>
    <col min="8705" max="8738" width="3.28515625" style="35" customWidth="1"/>
    <col min="8739" max="8739" width="2.7109375" style="35" customWidth="1"/>
    <col min="8740" max="8740" width="9.42578125" style="35" customWidth="1"/>
    <col min="8741" max="8813" width="2.7109375" style="35" customWidth="1"/>
    <col min="8814" max="8960" width="2.7109375" style="35"/>
    <col min="8961" max="8994" width="3.28515625" style="35" customWidth="1"/>
    <col min="8995" max="8995" width="2.7109375" style="35" customWidth="1"/>
    <col min="8996" max="8996" width="9.42578125" style="35" customWidth="1"/>
    <col min="8997" max="9069" width="2.7109375" style="35" customWidth="1"/>
    <col min="9070" max="9216" width="2.7109375" style="35"/>
    <col min="9217" max="9250" width="3.28515625" style="35" customWidth="1"/>
    <col min="9251" max="9251" width="2.7109375" style="35" customWidth="1"/>
    <col min="9252" max="9252" width="9.42578125" style="35" customWidth="1"/>
    <col min="9253" max="9325" width="2.7109375" style="35" customWidth="1"/>
    <col min="9326" max="9472" width="2.7109375" style="35"/>
    <col min="9473" max="9506" width="3.28515625" style="35" customWidth="1"/>
    <col min="9507" max="9507" width="2.7109375" style="35" customWidth="1"/>
    <col min="9508" max="9508" width="9.42578125" style="35" customWidth="1"/>
    <col min="9509" max="9581" width="2.7109375" style="35" customWidth="1"/>
    <col min="9582" max="9728" width="2.7109375" style="35"/>
    <col min="9729" max="9762" width="3.28515625" style="35" customWidth="1"/>
    <col min="9763" max="9763" width="2.7109375" style="35" customWidth="1"/>
    <col min="9764" max="9764" width="9.42578125" style="35" customWidth="1"/>
    <col min="9765" max="9837" width="2.7109375" style="35" customWidth="1"/>
    <col min="9838" max="9984" width="2.7109375" style="35"/>
    <col min="9985" max="10018" width="3.28515625" style="35" customWidth="1"/>
    <col min="10019" max="10019" width="2.7109375" style="35" customWidth="1"/>
    <col min="10020" max="10020" width="9.42578125" style="35" customWidth="1"/>
    <col min="10021" max="10093" width="2.7109375" style="35" customWidth="1"/>
    <col min="10094" max="10240" width="2.7109375" style="35"/>
    <col min="10241" max="10274" width="3.28515625" style="35" customWidth="1"/>
    <col min="10275" max="10275" width="2.7109375" style="35" customWidth="1"/>
    <col min="10276" max="10276" width="9.42578125" style="35" customWidth="1"/>
    <col min="10277" max="10349" width="2.7109375" style="35" customWidth="1"/>
    <col min="10350" max="10496" width="2.7109375" style="35"/>
    <col min="10497" max="10530" width="3.28515625" style="35" customWidth="1"/>
    <col min="10531" max="10531" width="2.7109375" style="35" customWidth="1"/>
    <col min="10532" max="10532" width="9.42578125" style="35" customWidth="1"/>
    <col min="10533" max="10605" width="2.7109375" style="35" customWidth="1"/>
    <col min="10606" max="10752" width="2.7109375" style="35"/>
    <col min="10753" max="10786" width="3.28515625" style="35" customWidth="1"/>
    <col min="10787" max="10787" width="2.7109375" style="35" customWidth="1"/>
    <col min="10788" max="10788" width="9.42578125" style="35" customWidth="1"/>
    <col min="10789" max="10861" width="2.7109375" style="35" customWidth="1"/>
    <col min="10862" max="11008" width="2.7109375" style="35"/>
    <col min="11009" max="11042" width="3.28515625" style="35" customWidth="1"/>
    <col min="11043" max="11043" width="2.7109375" style="35" customWidth="1"/>
    <col min="11044" max="11044" width="9.42578125" style="35" customWidth="1"/>
    <col min="11045" max="11117" width="2.7109375" style="35" customWidth="1"/>
    <col min="11118" max="11264" width="2.7109375" style="35"/>
    <col min="11265" max="11298" width="3.28515625" style="35" customWidth="1"/>
    <col min="11299" max="11299" width="2.7109375" style="35" customWidth="1"/>
    <col min="11300" max="11300" width="9.42578125" style="35" customWidth="1"/>
    <col min="11301" max="11373" width="2.7109375" style="35" customWidth="1"/>
    <col min="11374" max="11520" width="2.7109375" style="35"/>
    <col min="11521" max="11554" width="3.28515625" style="35" customWidth="1"/>
    <col min="11555" max="11555" width="2.7109375" style="35" customWidth="1"/>
    <col min="11556" max="11556" width="9.42578125" style="35" customWidth="1"/>
    <col min="11557" max="11629" width="2.7109375" style="35" customWidth="1"/>
    <col min="11630" max="11776" width="2.7109375" style="35"/>
    <col min="11777" max="11810" width="3.28515625" style="35" customWidth="1"/>
    <col min="11811" max="11811" width="2.7109375" style="35" customWidth="1"/>
    <col min="11812" max="11812" width="9.42578125" style="35" customWidth="1"/>
    <col min="11813" max="11885" width="2.7109375" style="35" customWidth="1"/>
    <col min="11886" max="12032" width="2.7109375" style="35"/>
    <col min="12033" max="12066" width="3.28515625" style="35" customWidth="1"/>
    <col min="12067" max="12067" width="2.7109375" style="35" customWidth="1"/>
    <col min="12068" max="12068" width="9.42578125" style="35" customWidth="1"/>
    <col min="12069" max="12141" width="2.7109375" style="35" customWidth="1"/>
    <col min="12142" max="12288" width="2.7109375" style="35"/>
    <col min="12289" max="12322" width="3.28515625" style="35" customWidth="1"/>
    <col min="12323" max="12323" width="2.7109375" style="35" customWidth="1"/>
    <col min="12324" max="12324" width="9.42578125" style="35" customWidth="1"/>
    <col min="12325" max="12397" width="2.7109375" style="35" customWidth="1"/>
    <col min="12398" max="12544" width="2.7109375" style="35"/>
    <col min="12545" max="12578" width="3.28515625" style="35" customWidth="1"/>
    <col min="12579" max="12579" width="2.7109375" style="35" customWidth="1"/>
    <col min="12580" max="12580" width="9.42578125" style="35" customWidth="1"/>
    <col min="12581" max="12653" width="2.7109375" style="35" customWidth="1"/>
    <col min="12654" max="12800" width="2.7109375" style="35"/>
    <col min="12801" max="12834" width="3.28515625" style="35" customWidth="1"/>
    <col min="12835" max="12835" width="2.7109375" style="35" customWidth="1"/>
    <col min="12836" max="12836" width="9.42578125" style="35" customWidth="1"/>
    <col min="12837" max="12909" width="2.7109375" style="35" customWidth="1"/>
    <col min="12910" max="13056" width="2.7109375" style="35"/>
    <col min="13057" max="13090" width="3.28515625" style="35" customWidth="1"/>
    <col min="13091" max="13091" width="2.7109375" style="35" customWidth="1"/>
    <col min="13092" max="13092" width="9.42578125" style="35" customWidth="1"/>
    <col min="13093" max="13165" width="2.7109375" style="35" customWidth="1"/>
    <col min="13166" max="13312" width="2.7109375" style="35"/>
    <col min="13313" max="13346" width="3.28515625" style="35" customWidth="1"/>
    <col min="13347" max="13347" width="2.7109375" style="35" customWidth="1"/>
    <col min="13348" max="13348" width="9.42578125" style="35" customWidth="1"/>
    <col min="13349" max="13421" width="2.7109375" style="35" customWidth="1"/>
    <col min="13422" max="13568" width="2.7109375" style="35"/>
    <col min="13569" max="13602" width="3.28515625" style="35" customWidth="1"/>
    <col min="13603" max="13603" width="2.7109375" style="35" customWidth="1"/>
    <col min="13604" max="13604" width="9.42578125" style="35" customWidth="1"/>
    <col min="13605" max="13677" width="2.7109375" style="35" customWidth="1"/>
    <col min="13678" max="13824" width="2.7109375" style="35"/>
    <col min="13825" max="13858" width="3.28515625" style="35" customWidth="1"/>
    <col min="13859" max="13859" width="2.7109375" style="35" customWidth="1"/>
    <col min="13860" max="13860" width="9.42578125" style="35" customWidth="1"/>
    <col min="13861" max="13933" width="2.7109375" style="35" customWidth="1"/>
    <col min="13934" max="14080" width="2.7109375" style="35"/>
    <col min="14081" max="14114" width="3.28515625" style="35" customWidth="1"/>
    <col min="14115" max="14115" width="2.7109375" style="35" customWidth="1"/>
    <col min="14116" max="14116" width="9.42578125" style="35" customWidth="1"/>
    <col min="14117" max="14189" width="2.7109375" style="35" customWidth="1"/>
    <col min="14190" max="14336" width="2.7109375" style="35"/>
    <col min="14337" max="14370" width="3.28515625" style="35" customWidth="1"/>
    <col min="14371" max="14371" width="2.7109375" style="35" customWidth="1"/>
    <col min="14372" max="14372" width="9.42578125" style="35" customWidth="1"/>
    <col min="14373" max="14445" width="2.7109375" style="35" customWidth="1"/>
    <col min="14446" max="14592" width="2.7109375" style="35"/>
    <col min="14593" max="14626" width="3.28515625" style="35" customWidth="1"/>
    <col min="14627" max="14627" width="2.7109375" style="35" customWidth="1"/>
    <col min="14628" max="14628" width="9.42578125" style="35" customWidth="1"/>
    <col min="14629" max="14701" width="2.7109375" style="35" customWidth="1"/>
    <col min="14702" max="14848" width="2.7109375" style="35"/>
    <col min="14849" max="14882" width="3.28515625" style="35" customWidth="1"/>
    <col min="14883" max="14883" width="2.7109375" style="35" customWidth="1"/>
    <col min="14884" max="14884" width="9.42578125" style="35" customWidth="1"/>
    <col min="14885" max="14957" width="2.7109375" style="35" customWidth="1"/>
    <col min="14958" max="15104" width="2.7109375" style="35"/>
    <col min="15105" max="15138" width="3.28515625" style="35" customWidth="1"/>
    <col min="15139" max="15139" width="2.7109375" style="35" customWidth="1"/>
    <col min="15140" max="15140" width="9.42578125" style="35" customWidth="1"/>
    <col min="15141" max="15213" width="2.7109375" style="35" customWidth="1"/>
    <col min="15214" max="15360" width="2.7109375" style="35"/>
    <col min="15361" max="15394" width="3.28515625" style="35" customWidth="1"/>
    <col min="15395" max="15395" width="2.7109375" style="35" customWidth="1"/>
    <col min="15396" max="15396" width="9.42578125" style="35" customWidth="1"/>
    <col min="15397" max="15469" width="2.7109375" style="35" customWidth="1"/>
    <col min="15470" max="15616" width="2.7109375" style="35"/>
    <col min="15617" max="15650" width="3.28515625" style="35" customWidth="1"/>
    <col min="15651" max="15651" width="2.7109375" style="35" customWidth="1"/>
    <col min="15652" max="15652" width="9.42578125" style="35" customWidth="1"/>
    <col min="15653" max="15725" width="2.7109375" style="35" customWidth="1"/>
    <col min="15726" max="15872" width="2.7109375" style="35"/>
    <col min="15873" max="15906" width="3.28515625" style="35" customWidth="1"/>
    <col min="15907" max="15907" width="2.7109375" style="35" customWidth="1"/>
    <col min="15908" max="15908" width="9.42578125" style="35" customWidth="1"/>
    <col min="15909" max="15981" width="2.7109375" style="35" customWidth="1"/>
    <col min="15982" max="16128" width="2.7109375" style="35"/>
    <col min="16129" max="16162" width="3.28515625" style="35" customWidth="1"/>
    <col min="16163" max="16163" width="2.7109375" style="35" customWidth="1"/>
    <col min="16164" max="16164" width="9.42578125" style="35" customWidth="1"/>
    <col min="16165" max="16237" width="2.7109375" style="35" customWidth="1"/>
    <col min="16238" max="16384" width="2.7109375" style="35"/>
  </cols>
  <sheetData>
    <row r="1" spans="1:34" s="6" customFormat="1" ht="30" customHeight="1">
      <c r="A1" s="173" t="s">
        <v>39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</row>
    <row r="2" spans="1:34" s="6" customFormat="1" ht="30" customHeight="1">
      <c r="A2" s="173" t="s">
        <v>40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</row>
    <row r="3" spans="1:34" s="6" customFormat="1" ht="30" customHeight="1">
      <c r="A3" s="173" t="s">
        <v>41</v>
      </c>
      <c r="B3" s="167"/>
      <c r="C3" s="167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  <c r="AG3" s="167"/>
      <c r="AH3" s="167"/>
    </row>
    <row r="4" spans="1:34" s="6" customFormat="1" ht="17.100000000000001" customHeight="1">
      <c r="A4" s="135" t="s">
        <v>42</v>
      </c>
      <c r="B4" s="136"/>
      <c r="C4" s="136"/>
      <c r="D4" s="136"/>
      <c r="E4" s="136"/>
      <c r="F4" s="136"/>
      <c r="G4" s="136"/>
      <c r="H4" s="136"/>
      <c r="I4" s="136"/>
      <c r="J4" s="136"/>
      <c r="K4" s="136"/>
      <c r="L4" s="136"/>
      <c r="M4" s="136"/>
      <c r="N4" s="136"/>
      <c r="O4" s="136"/>
      <c r="P4" s="136"/>
      <c r="Q4" s="136"/>
      <c r="R4" s="135" t="s">
        <v>43</v>
      </c>
      <c r="S4" s="136"/>
      <c r="T4" s="136"/>
      <c r="U4" s="136"/>
      <c r="V4" s="136"/>
      <c r="W4" s="136"/>
      <c r="X4" s="136"/>
      <c r="Y4" s="136"/>
      <c r="Z4" s="136"/>
      <c r="AA4" s="136"/>
      <c r="AB4" s="136"/>
      <c r="AC4" s="136"/>
      <c r="AD4" s="136"/>
      <c r="AE4" s="136"/>
      <c r="AF4" s="136"/>
      <c r="AG4" s="136"/>
      <c r="AH4" s="137"/>
    </row>
    <row r="5" spans="1:34" s="6" customFormat="1" ht="17.100000000000001" customHeight="1">
      <c r="A5" s="175" t="s">
        <v>44</v>
      </c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76"/>
      <c r="Q5" s="176"/>
      <c r="R5" s="177"/>
      <c r="S5" s="178"/>
      <c r="T5" s="178"/>
      <c r="U5" s="178"/>
      <c r="V5" s="178"/>
      <c r="W5" s="178"/>
      <c r="X5" s="178"/>
      <c r="Y5" s="178"/>
      <c r="Z5" s="178"/>
      <c r="AA5" s="178"/>
      <c r="AB5" s="178"/>
      <c r="AC5" s="178"/>
      <c r="AD5" s="178"/>
      <c r="AE5" s="178"/>
      <c r="AF5" s="178"/>
      <c r="AG5" s="178"/>
      <c r="AH5" s="179"/>
    </row>
    <row r="6" spans="1:34" s="6" customFormat="1" ht="17.100000000000001" customHeight="1">
      <c r="A6" s="162" t="s">
        <v>45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4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6"/>
    </row>
    <row r="7" spans="1:34" s="6" customFormat="1" ht="17.100000000000001" customHeight="1">
      <c r="A7" s="135" t="s">
        <v>46</v>
      </c>
      <c r="B7" s="136"/>
      <c r="C7" s="136"/>
      <c r="D7" s="136"/>
      <c r="E7" s="136"/>
      <c r="F7" s="136"/>
      <c r="G7" s="136"/>
      <c r="H7" s="136"/>
      <c r="I7" s="136"/>
      <c r="J7" s="167" t="s">
        <v>47</v>
      </c>
      <c r="K7" s="167"/>
      <c r="L7" s="167"/>
      <c r="M7" s="167"/>
      <c r="N7" s="167"/>
      <c r="O7" s="167"/>
      <c r="P7" s="167"/>
      <c r="Q7" s="167"/>
      <c r="R7" s="135" t="s">
        <v>48</v>
      </c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137"/>
    </row>
    <row r="8" spans="1:34" s="6" customFormat="1" ht="17.100000000000001" customHeight="1">
      <c r="A8" s="168"/>
      <c r="B8" s="169"/>
      <c r="C8" s="169"/>
      <c r="D8" s="169"/>
      <c r="E8" s="169"/>
      <c r="F8" s="169"/>
      <c r="G8" s="169"/>
      <c r="H8" s="169"/>
      <c r="I8" s="169"/>
      <c r="J8" s="46" t="s">
        <v>49</v>
      </c>
      <c r="K8" s="46"/>
      <c r="L8" s="46"/>
      <c r="M8" s="46"/>
      <c r="N8" s="46"/>
      <c r="O8" s="46"/>
      <c r="P8" s="46"/>
      <c r="Q8" s="168"/>
      <c r="R8" s="170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2"/>
    </row>
    <row r="9" spans="1:34" s="6" customFormat="1" ht="17.100000000000001" customHeight="1">
      <c r="A9" s="138" t="s">
        <v>50</v>
      </c>
      <c r="B9" s="139"/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39"/>
      <c r="P9" s="139"/>
      <c r="Q9" s="140"/>
      <c r="R9" s="141" t="s">
        <v>51</v>
      </c>
      <c r="S9" s="142"/>
      <c r="T9" s="142"/>
      <c r="U9" s="142"/>
      <c r="V9" s="142"/>
      <c r="W9" s="142"/>
      <c r="X9" s="142"/>
      <c r="Y9" s="142"/>
      <c r="Z9" s="143"/>
      <c r="AA9" s="141" t="s">
        <v>52</v>
      </c>
      <c r="AB9" s="142"/>
      <c r="AC9" s="142"/>
      <c r="AD9" s="142"/>
      <c r="AE9" s="142"/>
      <c r="AF9" s="142"/>
      <c r="AG9" s="142"/>
      <c r="AH9" s="143"/>
    </row>
    <row r="10" spans="1:34" s="6" customFormat="1" ht="17.100000000000001" customHeight="1">
      <c r="A10" s="147" t="s">
        <v>53</v>
      </c>
      <c r="B10" s="148"/>
      <c r="C10" s="148"/>
      <c r="D10" s="148"/>
      <c r="E10" s="149"/>
      <c r="F10" s="149"/>
      <c r="G10" s="149"/>
      <c r="H10" s="149"/>
      <c r="I10" s="149"/>
      <c r="J10" s="149"/>
      <c r="K10" s="149"/>
      <c r="L10" s="149"/>
      <c r="M10" s="149"/>
      <c r="N10" s="149"/>
      <c r="O10" s="149"/>
      <c r="P10" s="149"/>
      <c r="Q10" s="150"/>
      <c r="R10" s="144"/>
      <c r="S10" s="145"/>
      <c r="T10" s="145"/>
      <c r="U10" s="145"/>
      <c r="V10" s="145"/>
      <c r="W10" s="145"/>
      <c r="X10" s="145"/>
      <c r="Y10" s="145"/>
      <c r="Z10" s="146"/>
      <c r="AA10" s="144"/>
      <c r="AB10" s="145"/>
      <c r="AC10" s="145"/>
      <c r="AD10" s="145"/>
      <c r="AE10" s="145"/>
      <c r="AF10" s="145"/>
      <c r="AG10" s="145"/>
      <c r="AH10" s="146"/>
    </row>
    <row r="11" spans="1:34" s="6" customFormat="1" ht="17.100000000000001" customHeight="1">
      <c r="A11" s="151"/>
      <c r="B11" s="152"/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Q11" s="153"/>
      <c r="R11" s="154" t="s">
        <v>54</v>
      </c>
      <c r="S11" s="155"/>
      <c r="T11" s="155"/>
      <c r="U11" s="155"/>
      <c r="V11" s="155"/>
      <c r="W11" s="155"/>
      <c r="X11" s="155"/>
      <c r="Y11" s="155"/>
      <c r="Z11" s="156"/>
      <c r="AA11" s="135" t="s">
        <v>55</v>
      </c>
      <c r="AB11" s="136"/>
      <c r="AC11" s="136"/>
      <c r="AD11" s="137"/>
      <c r="AE11" s="135" t="s">
        <v>56</v>
      </c>
      <c r="AF11" s="136"/>
      <c r="AG11" s="136"/>
      <c r="AH11" s="137"/>
    </row>
    <row r="12" spans="1:34" s="6" customFormat="1" ht="17.100000000000001" customHeight="1">
      <c r="A12" s="160" t="s">
        <v>57</v>
      </c>
      <c r="B12" s="161"/>
      <c r="C12" s="128"/>
      <c r="D12" s="128"/>
      <c r="E12" s="128"/>
      <c r="F12" s="128"/>
      <c r="G12" s="128"/>
      <c r="H12" s="128"/>
      <c r="I12" s="128"/>
      <c r="J12" s="129" t="s">
        <v>58</v>
      </c>
      <c r="K12" s="129"/>
      <c r="L12" s="129"/>
      <c r="M12" s="129"/>
      <c r="N12" s="130"/>
      <c r="O12" s="130"/>
      <c r="P12" s="130"/>
      <c r="Q12" s="131"/>
      <c r="R12" s="157"/>
      <c r="S12" s="158"/>
      <c r="T12" s="158"/>
      <c r="U12" s="158"/>
      <c r="V12" s="158"/>
      <c r="W12" s="158"/>
      <c r="X12" s="158"/>
      <c r="Y12" s="158"/>
      <c r="Z12" s="159"/>
      <c r="AA12" s="132" t="s">
        <v>171</v>
      </c>
      <c r="AB12" s="133"/>
      <c r="AC12" s="133"/>
      <c r="AD12" s="134"/>
      <c r="AE12" s="132" t="s">
        <v>172</v>
      </c>
      <c r="AF12" s="133"/>
      <c r="AG12" s="133"/>
      <c r="AH12" s="134"/>
    </row>
    <row r="13" spans="1:34" s="6" customFormat="1" ht="17.100000000000001" customHeight="1">
      <c r="A13" s="135" t="s">
        <v>59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6"/>
      <c r="AD13" s="136"/>
      <c r="AE13" s="136"/>
      <c r="AF13" s="136"/>
      <c r="AG13" s="136"/>
      <c r="AH13" s="137"/>
    </row>
    <row r="14" spans="1:34" s="6" customFormat="1" ht="17.100000000000001" customHeight="1">
      <c r="A14" s="119" t="s">
        <v>60</v>
      </c>
      <c r="B14" s="120"/>
      <c r="C14" s="120"/>
      <c r="D14" s="120"/>
      <c r="E14" s="121"/>
      <c r="F14" s="119" t="s">
        <v>61</v>
      </c>
      <c r="G14" s="120"/>
      <c r="H14" s="120"/>
      <c r="I14" s="120"/>
      <c r="J14" s="120"/>
      <c r="K14" s="120"/>
      <c r="L14" s="120"/>
      <c r="M14" s="120"/>
      <c r="N14" s="120"/>
      <c r="O14" s="120"/>
      <c r="P14" s="120"/>
      <c r="Q14" s="120"/>
      <c r="R14" s="121"/>
      <c r="S14" s="119" t="s">
        <v>62</v>
      </c>
      <c r="T14" s="120"/>
      <c r="U14" s="120"/>
      <c r="V14" s="120"/>
      <c r="W14" s="120"/>
      <c r="X14" s="120"/>
      <c r="Y14" s="120"/>
      <c r="Z14" s="121"/>
      <c r="AA14" s="119" t="s">
        <v>63</v>
      </c>
      <c r="AB14" s="120"/>
      <c r="AC14" s="120"/>
      <c r="AD14" s="120"/>
      <c r="AE14" s="120"/>
      <c r="AF14" s="120"/>
      <c r="AG14" s="120"/>
      <c r="AH14" s="121"/>
    </row>
    <row r="15" spans="1:34" s="6" customFormat="1" ht="17.100000000000001" customHeight="1">
      <c r="A15" s="122"/>
      <c r="B15" s="123"/>
      <c r="C15" s="123"/>
      <c r="D15" s="123"/>
      <c r="E15" s="124"/>
      <c r="F15" s="122"/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4"/>
      <c r="S15" s="122"/>
      <c r="T15" s="123"/>
      <c r="U15" s="123"/>
      <c r="V15" s="123"/>
      <c r="W15" s="123"/>
      <c r="X15" s="123"/>
      <c r="Y15" s="123"/>
      <c r="Z15" s="124"/>
      <c r="AA15" s="122"/>
      <c r="AB15" s="123"/>
      <c r="AC15" s="123"/>
      <c r="AD15" s="123"/>
      <c r="AE15" s="123"/>
      <c r="AF15" s="123"/>
      <c r="AG15" s="123"/>
      <c r="AH15" s="124"/>
    </row>
    <row r="16" spans="1:34" s="6" customFormat="1" ht="17.100000000000001" customHeight="1">
      <c r="A16" s="125"/>
      <c r="B16" s="126"/>
      <c r="C16" s="126"/>
      <c r="D16" s="126"/>
      <c r="E16" s="127"/>
      <c r="F16" s="125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7"/>
      <c r="S16" s="125"/>
      <c r="T16" s="126"/>
      <c r="U16" s="126"/>
      <c r="V16" s="126"/>
      <c r="W16" s="126"/>
      <c r="X16" s="126"/>
      <c r="Y16" s="126"/>
      <c r="Z16" s="127"/>
      <c r="AA16" s="125"/>
      <c r="AB16" s="126"/>
      <c r="AC16" s="126"/>
      <c r="AD16" s="126"/>
      <c r="AE16" s="126"/>
      <c r="AF16" s="126"/>
      <c r="AG16" s="126"/>
      <c r="AH16" s="127"/>
    </row>
    <row r="17" spans="1:34" s="6" customFormat="1" ht="17.100000000000001" customHeight="1">
      <c r="A17" s="114" t="s">
        <v>64</v>
      </c>
      <c r="B17" s="114"/>
      <c r="C17" s="114"/>
      <c r="D17" s="114"/>
      <c r="E17" s="114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15"/>
      <c r="T17" s="115"/>
      <c r="U17" s="115"/>
      <c r="V17" s="115"/>
      <c r="W17" s="115"/>
      <c r="X17" s="115"/>
      <c r="Y17" s="115"/>
      <c r="Z17" s="115"/>
      <c r="AA17" s="115"/>
      <c r="AB17" s="115"/>
      <c r="AC17" s="115"/>
      <c r="AD17" s="115"/>
      <c r="AE17" s="115"/>
      <c r="AF17" s="115"/>
      <c r="AG17" s="115"/>
      <c r="AH17" s="115"/>
    </row>
    <row r="18" spans="1:34" s="6" customFormat="1" ht="17.100000000000001" customHeight="1">
      <c r="A18" s="114" t="s">
        <v>65</v>
      </c>
      <c r="B18" s="114"/>
      <c r="C18" s="114"/>
      <c r="D18" s="114"/>
      <c r="E18" s="114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15"/>
      <c r="T18" s="115"/>
      <c r="U18" s="115"/>
      <c r="V18" s="115"/>
      <c r="W18" s="115"/>
      <c r="X18" s="115"/>
      <c r="Y18" s="115"/>
      <c r="Z18" s="115"/>
      <c r="AA18" s="115"/>
      <c r="AB18" s="115"/>
      <c r="AC18" s="115"/>
      <c r="AD18" s="115"/>
      <c r="AE18" s="115"/>
      <c r="AF18" s="115"/>
      <c r="AG18" s="115"/>
      <c r="AH18" s="115"/>
    </row>
    <row r="19" spans="1:34" s="6" customFormat="1" ht="17.100000000000001" customHeight="1">
      <c r="A19" s="114" t="s">
        <v>66</v>
      </c>
      <c r="B19" s="114"/>
      <c r="C19" s="114"/>
      <c r="D19" s="114"/>
      <c r="E19" s="114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115"/>
      <c r="AG19" s="115"/>
      <c r="AH19" s="115"/>
    </row>
    <row r="20" spans="1:34" s="6" customFormat="1" ht="17.100000000000001" customHeight="1">
      <c r="A20" s="114" t="s">
        <v>67</v>
      </c>
      <c r="B20" s="114"/>
      <c r="C20" s="114"/>
      <c r="D20" s="114"/>
      <c r="E20" s="114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</row>
    <row r="21" spans="1:34" s="6" customFormat="1" ht="17.100000000000001" customHeight="1">
      <c r="A21" s="116" t="s">
        <v>68</v>
      </c>
      <c r="B21" s="116"/>
      <c r="C21" s="116"/>
      <c r="D21" s="116"/>
      <c r="E21" s="116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8">
        <f>SUM(S17:Z20)</f>
        <v>0</v>
      </c>
      <c r="T21" s="118"/>
      <c r="U21" s="118"/>
      <c r="V21" s="118"/>
      <c r="W21" s="118"/>
      <c r="X21" s="118"/>
      <c r="Y21" s="118"/>
      <c r="Z21" s="118"/>
      <c r="AA21" s="118">
        <f>SUM(AA17:AH20)</f>
        <v>0</v>
      </c>
      <c r="AB21" s="118"/>
      <c r="AC21" s="118"/>
      <c r="AD21" s="118"/>
      <c r="AE21" s="118"/>
      <c r="AF21" s="118"/>
      <c r="AG21" s="118"/>
      <c r="AH21" s="118"/>
    </row>
    <row r="22" spans="1:34" s="6" customFormat="1" ht="15" customHeight="1">
      <c r="A22" s="108" t="s">
        <v>69</v>
      </c>
      <c r="B22" s="10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10"/>
    </row>
    <row r="23" spans="1:34" s="6" customFormat="1" ht="15" customHeight="1">
      <c r="A23" s="111" t="s">
        <v>70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</row>
    <row r="24" spans="1:34" s="6" customFormat="1" ht="15.95" customHeight="1">
      <c r="A24" s="7" t="s">
        <v>71</v>
      </c>
      <c r="B24" s="67" t="s">
        <v>72</v>
      </c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88"/>
      <c r="Q24" s="8"/>
      <c r="R24" s="97"/>
      <c r="S24" s="113"/>
      <c r="T24" s="113"/>
      <c r="U24" s="113"/>
      <c r="V24" s="113"/>
      <c r="W24" s="9"/>
      <c r="X24" s="97"/>
      <c r="Y24" s="113"/>
      <c r="Z24" s="113"/>
      <c r="AA24" s="113"/>
      <c r="AB24" s="113"/>
      <c r="AC24" s="9"/>
      <c r="AD24" s="97"/>
      <c r="AE24" s="113"/>
      <c r="AF24" s="113"/>
      <c r="AG24" s="113"/>
      <c r="AH24" s="113"/>
    </row>
    <row r="25" spans="1:34" s="6" customFormat="1" ht="15.95" customHeight="1">
      <c r="A25" s="7"/>
      <c r="B25" s="10" t="s">
        <v>73</v>
      </c>
      <c r="C25" s="74" t="s">
        <v>74</v>
      </c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102"/>
      <c r="Q25" s="11" t="s">
        <v>75</v>
      </c>
      <c r="R25" s="103"/>
      <c r="S25" s="104"/>
      <c r="T25" s="104"/>
      <c r="U25" s="104"/>
      <c r="V25" s="104"/>
      <c r="W25" s="12"/>
      <c r="X25" s="88"/>
      <c r="Y25" s="89"/>
      <c r="Z25" s="89"/>
      <c r="AA25" s="89"/>
      <c r="AB25" s="89"/>
      <c r="AC25" s="12"/>
      <c r="AD25" s="88"/>
      <c r="AE25" s="89"/>
      <c r="AF25" s="89"/>
      <c r="AG25" s="89"/>
      <c r="AH25" s="89"/>
    </row>
    <row r="26" spans="1:34" s="6" customFormat="1" ht="15.95" customHeight="1">
      <c r="A26" s="7"/>
      <c r="B26" s="10" t="s">
        <v>76</v>
      </c>
      <c r="C26" s="105" t="s">
        <v>77</v>
      </c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7"/>
      <c r="Q26" s="11" t="s">
        <v>75</v>
      </c>
      <c r="R26" s="103"/>
      <c r="S26" s="104"/>
      <c r="T26" s="104"/>
      <c r="U26" s="104"/>
      <c r="V26" s="104"/>
      <c r="W26" s="12"/>
      <c r="X26" s="88"/>
      <c r="Y26" s="89"/>
      <c r="Z26" s="89"/>
      <c r="AA26" s="89"/>
      <c r="AB26" s="89"/>
      <c r="AC26" s="12"/>
      <c r="AD26" s="88"/>
      <c r="AE26" s="89"/>
      <c r="AF26" s="89"/>
      <c r="AG26" s="89"/>
      <c r="AH26" s="89"/>
    </row>
    <row r="27" spans="1:34" s="6" customFormat="1" ht="15.95" customHeight="1">
      <c r="A27" s="7"/>
      <c r="B27" s="10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7"/>
      <c r="Q27" s="12"/>
      <c r="R27" s="88"/>
      <c r="S27" s="89"/>
      <c r="T27" s="89"/>
      <c r="U27" s="89"/>
      <c r="V27" s="89"/>
      <c r="W27" s="12"/>
      <c r="X27" s="88"/>
      <c r="Y27" s="89"/>
      <c r="Z27" s="89"/>
      <c r="AA27" s="89"/>
      <c r="AB27" s="89"/>
      <c r="AC27" s="12"/>
      <c r="AD27" s="88"/>
      <c r="AE27" s="89"/>
      <c r="AF27" s="89"/>
      <c r="AG27" s="89"/>
      <c r="AH27" s="89"/>
    </row>
    <row r="28" spans="1:34" s="6" customFormat="1" ht="15.95" customHeight="1">
      <c r="A28" s="7"/>
      <c r="B28" s="10" t="s">
        <v>78</v>
      </c>
      <c r="C28" s="74" t="s">
        <v>79</v>
      </c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88"/>
      <c r="Q28" s="11" t="s">
        <v>75</v>
      </c>
      <c r="R28" s="71"/>
      <c r="S28" s="75"/>
      <c r="T28" s="75"/>
      <c r="U28" s="75"/>
      <c r="V28" s="75"/>
      <c r="W28" s="12"/>
      <c r="X28" s="68"/>
      <c r="Y28" s="69"/>
      <c r="Z28" s="69"/>
      <c r="AA28" s="69"/>
      <c r="AB28" s="69"/>
      <c r="AC28" s="12"/>
      <c r="AD28" s="68"/>
      <c r="AE28" s="69"/>
      <c r="AF28" s="69"/>
      <c r="AG28" s="69"/>
      <c r="AH28" s="69"/>
    </row>
    <row r="29" spans="1:34" s="6" customFormat="1" ht="15.95" customHeight="1">
      <c r="A29" s="7"/>
      <c r="B29" s="10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88"/>
      <c r="Q29" s="12"/>
      <c r="R29" s="68"/>
      <c r="S29" s="69"/>
      <c r="T29" s="69"/>
      <c r="U29" s="69"/>
      <c r="V29" s="69"/>
      <c r="W29" s="12"/>
      <c r="X29" s="68"/>
      <c r="Y29" s="69"/>
      <c r="Z29" s="69"/>
      <c r="AA29" s="69"/>
      <c r="AB29" s="69"/>
      <c r="AC29" s="12"/>
      <c r="AD29" s="68"/>
      <c r="AE29" s="69"/>
      <c r="AF29" s="69"/>
      <c r="AG29" s="69"/>
      <c r="AH29" s="69"/>
    </row>
    <row r="30" spans="1:34" s="6" customFormat="1" ht="15.95" customHeight="1">
      <c r="A30" s="7"/>
      <c r="B30" s="10" t="s">
        <v>80</v>
      </c>
      <c r="C30" s="67" t="s">
        <v>68</v>
      </c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88"/>
      <c r="Q30" s="12"/>
      <c r="R30" s="68"/>
      <c r="S30" s="69"/>
      <c r="T30" s="69"/>
      <c r="U30" s="69"/>
      <c r="V30" s="69"/>
      <c r="W30" s="11" t="s">
        <v>75</v>
      </c>
      <c r="X30" s="68">
        <f>R25+R26+R28</f>
        <v>0</v>
      </c>
      <c r="Y30" s="69"/>
      <c r="Z30" s="69"/>
      <c r="AA30" s="69"/>
      <c r="AB30" s="69"/>
      <c r="AC30" s="12"/>
      <c r="AD30" s="68"/>
      <c r="AE30" s="69"/>
      <c r="AF30" s="69"/>
      <c r="AG30" s="69"/>
      <c r="AH30" s="69"/>
    </row>
    <row r="31" spans="1:34" s="6" customFormat="1" ht="15.95" customHeight="1">
      <c r="A31" s="7" t="s">
        <v>81</v>
      </c>
      <c r="B31" s="74" t="s">
        <v>82</v>
      </c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88"/>
      <c r="Q31" s="12"/>
      <c r="R31" s="68"/>
      <c r="S31" s="69"/>
      <c r="T31" s="69"/>
      <c r="U31" s="69"/>
      <c r="V31" s="69"/>
      <c r="W31" s="12"/>
      <c r="X31" s="68"/>
      <c r="Y31" s="69"/>
      <c r="Z31" s="69"/>
      <c r="AA31" s="69"/>
      <c r="AB31" s="69"/>
      <c r="AC31" s="12"/>
      <c r="AD31" s="68"/>
      <c r="AE31" s="69"/>
      <c r="AF31" s="69"/>
      <c r="AG31" s="69"/>
      <c r="AH31" s="69"/>
    </row>
    <row r="32" spans="1:34" s="6" customFormat="1" ht="15.95" customHeight="1">
      <c r="A32" s="7"/>
      <c r="B32" s="101" t="s">
        <v>83</v>
      </c>
      <c r="C32" s="101"/>
      <c r="D32" s="101"/>
      <c r="E32" s="101"/>
      <c r="F32" s="101"/>
      <c r="G32" s="101"/>
      <c r="H32" s="101"/>
      <c r="I32" s="101"/>
      <c r="J32" s="101"/>
      <c r="K32" s="101"/>
      <c r="L32" s="101" t="s">
        <v>75</v>
      </c>
      <c r="M32" s="101"/>
      <c r="N32" s="101"/>
      <c r="O32" s="101"/>
      <c r="P32" s="101"/>
      <c r="Q32" s="12"/>
      <c r="R32" s="68"/>
      <c r="S32" s="69"/>
      <c r="T32" s="69"/>
      <c r="U32" s="69"/>
      <c r="V32" s="69"/>
      <c r="W32" s="12"/>
      <c r="X32" s="68"/>
      <c r="Y32" s="69"/>
      <c r="Z32" s="69"/>
      <c r="AA32" s="69"/>
      <c r="AB32" s="69"/>
      <c r="AC32" s="12"/>
      <c r="AD32" s="68"/>
      <c r="AE32" s="69"/>
      <c r="AF32" s="69"/>
      <c r="AG32" s="69"/>
      <c r="AH32" s="69"/>
    </row>
    <row r="33" spans="1:34" s="6" customFormat="1" ht="15.95" customHeight="1">
      <c r="A33" s="7"/>
      <c r="B33" s="42" t="s">
        <v>8</v>
      </c>
      <c r="C33" s="43"/>
      <c r="D33" s="43"/>
      <c r="E33" s="43"/>
      <c r="F33" s="43"/>
      <c r="G33" s="43"/>
      <c r="H33" s="43"/>
      <c r="I33" s="43"/>
      <c r="J33" s="43"/>
      <c r="K33" s="44"/>
      <c r="L33" s="42"/>
      <c r="M33" s="43"/>
      <c r="N33" s="43"/>
      <c r="O33" s="43"/>
      <c r="P33" s="44"/>
      <c r="Q33" s="10"/>
      <c r="R33" s="68"/>
      <c r="S33" s="69"/>
      <c r="T33" s="69"/>
      <c r="U33" s="69"/>
      <c r="V33" s="69"/>
      <c r="W33" s="12"/>
      <c r="X33" s="68"/>
      <c r="Y33" s="69"/>
      <c r="Z33" s="69"/>
      <c r="AA33" s="69"/>
      <c r="AB33" s="69"/>
      <c r="AC33" s="12"/>
      <c r="AD33" s="68"/>
      <c r="AE33" s="69"/>
      <c r="AF33" s="69"/>
      <c r="AG33" s="69"/>
      <c r="AH33" s="69"/>
    </row>
    <row r="34" spans="1:34" s="6" customFormat="1" ht="15.95" customHeight="1">
      <c r="A34" s="7"/>
      <c r="B34" s="42" t="s">
        <v>84</v>
      </c>
      <c r="C34" s="43"/>
      <c r="D34" s="43"/>
      <c r="E34" s="43"/>
      <c r="F34" s="43"/>
      <c r="G34" s="43"/>
      <c r="H34" s="43"/>
      <c r="I34" s="43"/>
      <c r="J34" s="43"/>
      <c r="K34" s="44"/>
      <c r="L34" s="42">
        <f>[1]SEARCH!V28</f>
        <v>0</v>
      </c>
      <c r="M34" s="43"/>
      <c r="N34" s="43"/>
      <c r="O34" s="43"/>
      <c r="P34" s="44"/>
      <c r="Q34" s="12"/>
      <c r="R34" s="68"/>
      <c r="S34" s="69"/>
      <c r="T34" s="69"/>
      <c r="U34" s="69"/>
      <c r="V34" s="69"/>
      <c r="W34" s="12"/>
      <c r="X34" s="68"/>
      <c r="Y34" s="69"/>
      <c r="Z34" s="69"/>
      <c r="AA34" s="69"/>
      <c r="AB34" s="69"/>
      <c r="AC34" s="12"/>
      <c r="AD34" s="68"/>
      <c r="AE34" s="69"/>
      <c r="AF34" s="69"/>
      <c r="AG34" s="69"/>
      <c r="AH34" s="69"/>
    </row>
    <row r="35" spans="1:34" s="6" customFormat="1" ht="15.95" customHeight="1">
      <c r="A35" s="7"/>
      <c r="B35" s="42" t="s">
        <v>85</v>
      </c>
      <c r="C35" s="43"/>
      <c r="D35" s="43"/>
      <c r="E35" s="43"/>
      <c r="F35" s="43"/>
      <c r="G35" s="43"/>
      <c r="H35" s="43"/>
      <c r="I35" s="43"/>
      <c r="J35" s="43"/>
      <c r="K35" s="44"/>
      <c r="L35" s="42">
        <f>[1]SEARCH!V29</f>
        <v>0</v>
      </c>
      <c r="M35" s="43"/>
      <c r="N35" s="43"/>
      <c r="O35" s="43"/>
      <c r="P35" s="44"/>
      <c r="Q35" s="12"/>
      <c r="R35" s="68"/>
      <c r="S35" s="69"/>
      <c r="T35" s="69"/>
      <c r="U35" s="69"/>
      <c r="V35" s="69"/>
      <c r="W35" s="11" t="s">
        <v>75</v>
      </c>
      <c r="X35" s="68">
        <f>SUM(L33:P35)</f>
        <v>0</v>
      </c>
      <c r="Y35" s="69"/>
      <c r="Z35" s="69"/>
      <c r="AA35" s="69"/>
      <c r="AB35" s="69"/>
      <c r="AC35" s="12"/>
      <c r="AD35" s="68"/>
      <c r="AE35" s="69"/>
      <c r="AF35" s="69"/>
      <c r="AG35" s="69"/>
      <c r="AH35" s="69"/>
    </row>
    <row r="36" spans="1:34" s="6" customFormat="1" ht="15.95" customHeight="1">
      <c r="A36" s="7" t="s">
        <v>86</v>
      </c>
      <c r="B36" s="96" t="s">
        <v>87</v>
      </c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7"/>
      <c r="Q36" s="12"/>
      <c r="R36" s="68"/>
      <c r="S36" s="69"/>
      <c r="T36" s="69"/>
      <c r="U36" s="69"/>
      <c r="V36" s="69"/>
      <c r="W36" s="11" t="s">
        <v>75</v>
      </c>
      <c r="X36" s="68">
        <f>X30-X35</f>
        <v>0</v>
      </c>
      <c r="Y36" s="69"/>
      <c r="Z36" s="69"/>
      <c r="AA36" s="69"/>
      <c r="AB36" s="69"/>
      <c r="AC36" s="12"/>
      <c r="AD36" s="68"/>
      <c r="AE36" s="69"/>
      <c r="AF36" s="69"/>
      <c r="AG36" s="69"/>
      <c r="AH36" s="69"/>
    </row>
    <row r="37" spans="1:34" s="6" customFormat="1" ht="15.95" customHeight="1">
      <c r="A37" s="7" t="s">
        <v>88</v>
      </c>
      <c r="B37" s="67" t="s">
        <v>89</v>
      </c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88"/>
      <c r="Q37" s="12"/>
      <c r="R37" s="68"/>
      <c r="S37" s="69"/>
      <c r="T37" s="69"/>
      <c r="U37" s="69"/>
      <c r="V37" s="69"/>
      <c r="W37" s="12"/>
      <c r="X37" s="68"/>
      <c r="Y37" s="69"/>
      <c r="Z37" s="69"/>
      <c r="AA37" s="69"/>
      <c r="AB37" s="69"/>
      <c r="AC37" s="12"/>
      <c r="AD37" s="68"/>
      <c r="AE37" s="69"/>
      <c r="AF37" s="69"/>
      <c r="AG37" s="69"/>
      <c r="AH37" s="69"/>
    </row>
    <row r="38" spans="1:34" s="6" customFormat="1" ht="15.95" customHeight="1">
      <c r="A38" s="7"/>
      <c r="B38" s="10" t="s">
        <v>73</v>
      </c>
      <c r="C38" s="67" t="s">
        <v>90</v>
      </c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88"/>
      <c r="Q38" s="11" t="s">
        <v>75</v>
      </c>
      <c r="R38" s="71"/>
      <c r="S38" s="75"/>
      <c r="T38" s="75"/>
      <c r="U38" s="75"/>
      <c r="V38" s="75"/>
      <c r="W38" s="12"/>
      <c r="X38" s="68"/>
      <c r="Y38" s="69"/>
      <c r="Z38" s="69"/>
      <c r="AA38" s="69"/>
      <c r="AB38" s="69"/>
      <c r="AC38" s="12"/>
      <c r="AD38" s="68"/>
      <c r="AE38" s="69"/>
      <c r="AF38" s="69"/>
      <c r="AG38" s="69"/>
      <c r="AH38" s="69"/>
    </row>
    <row r="39" spans="1:34" s="6" customFormat="1" ht="15.95" customHeight="1">
      <c r="A39" s="7"/>
      <c r="B39" s="10" t="s">
        <v>76</v>
      </c>
      <c r="C39" s="67" t="s">
        <v>91</v>
      </c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88"/>
      <c r="Q39" s="11" t="s">
        <v>75</v>
      </c>
      <c r="R39" s="71"/>
      <c r="S39" s="75"/>
      <c r="T39" s="75"/>
      <c r="U39" s="75"/>
      <c r="V39" s="75"/>
      <c r="W39" s="12"/>
      <c r="X39" s="68"/>
      <c r="Y39" s="69"/>
      <c r="Z39" s="69"/>
      <c r="AA39" s="69"/>
      <c r="AB39" s="69"/>
      <c r="AC39" s="12"/>
      <c r="AD39" s="68"/>
      <c r="AE39" s="69"/>
      <c r="AF39" s="69"/>
      <c r="AG39" s="69"/>
      <c r="AH39" s="69"/>
    </row>
    <row r="40" spans="1:34" s="6" customFormat="1" ht="15.95" customHeight="1">
      <c r="A40" s="7" t="s">
        <v>92</v>
      </c>
      <c r="B40" s="67" t="s">
        <v>93</v>
      </c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88"/>
      <c r="Q40" s="12"/>
      <c r="R40" s="68"/>
      <c r="S40" s="69"/>
      <c r="T40" s="69"/>
      <c r="U40" s="69"/>
      <c r="V40" s="69"/>
      <c r="W40" s="11" t="s">
        <v>75</v>
      </c>
      <c r="X40" s="68">
        <f>SUM(R38:V39)</f>
        <v>0</v>
      </c>
      <c r="Y40" s="69"/>
      <c r="Z40" s="69"/>
      <c r="AA40" s="69"/>
      <c r="AB40" s="69"/>
      <c r="AC40" s="12"/>
      <c r="AD40" s="68"/>
      <c r="AE40" s="69"/>
      <c r="AF40" s="69"/>
      <c r="AG40" s="69"/>
      <c r="AH40" s="69"/>
    </row>
    <row r="41" spans="1:34" s="6" customFormat="1" ht="15.95" customHeight="1">
      <c r="A41" s="7" t="s">
        <v>94</v>
      </c>
      <c r="B41" s="74" t="s">
        <v>95</v>
      </c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88"/>
      <c r="Q41" s="12"/>
      <c r="R41" s="68"/>
      <c r="S41" s="69"/>
      <c r="T41" s="69"/>
      <c r="U41" s="69"/>
      <c r="V41" s="69"/>
      <c r="W41" s="12"/>
      <c r="X41" s="68"/>
      <c r="Y41" s="69"/>
      <c r="Z41" s="69"/>
      <c r="AA41" s="69"/>
      <c r="AB41" s="69"/>
      <c r="AC41" s="11" t="s">
        <v>75</v>
      </c>
      <c r="AD41" s="68">
        <f>X36-X40</f>
        <v>0</v>
      </c>
      <c r="AE41" s="69"/>
      <c r="AF41" s="69"/>
      <c r="AG41" s="69"/>
      <c r="AH41" s="69"/>
    </row>
    <row r="42" spans="1:34" s="6" customFormat="1" ht="15.95" customHeight="1">
      <c r="A42" s="7" t="s">
        <v>96</v>
      </c>
      <c r="B42" s="74" t="s">
        <v>97</v>
      </c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88"/>
      <c r="Q42" s="12"/>
      <c r="R42" s="68"/>
      <c r="S42" s="69"/>
      <c r="T42" s="69"/>
      <c r="U42" s="69"/>
      <c r="V42" s="69"/>
      <c r="W42" s="12"/>
      <c r="X42" s="68"/>
      <c r="Y42" s="69"/>
      <c r="Z42" s="69"/>
      <c r="AA42" s="69"/>
      <c r="AB42" s="69"/>
      <c r="AC42" s="12"/>
      <c r="AD42" s="68"/>
      <c r="AE42" s="69"/>
      <c r="AF42" s="69"/>
      <c r="AG42" s="69"/>
      <c r="AH42" s="69"/>
    </row>
    <row r="43" spans="1:34" s="6" customFormat="1" ht="15.95" customHeight="1">
      <c r="A43" s="7"/>
      <c r="B43" s="101" t="s">
        <v>98</v>
      </c>
      <c r="C43" s="101"/>
      <c r="D43" s="101"/>
      <c r="E43" s="101"/>
      <c r="F43" s="101"/>
      <c r="G43" s="101"/>
      <c r="H43" s="101"/>
      <c r="I43" s="101"/>
      <c r="J43" s="101"/>
      <c r="K43" s="101" t="s">
        <v>75</v>
      </c>
      <c r="L43" s="101"/>
      <c r="M43" s="101"/>
      <c r="N43" s="101"/>
      <c r="O43" s="101"/>
      <c r="P43" s="101"/>
      <c r="Q43" s="12"/>
      <c r="R43" s="68"/>
      <c r="S43" s="69"/>
      <c r="T43" s="69"/>
      <c r="U43" s="69"/>
      <c r="V43" s="69"/>
      <c r="W43" s="12"/>
      <c r="X43" s="68"/>
      <c r="Y43" s="69"/>
      <c r="Z43" s="69"/>
      <c r="AA43" s="69"/>
      <c r="AB43" s="69"/>
      <c r="AC43" s="12"/>
      <c r="AD43" s="68"/>
      <c r="AE43" s="69"/>
      <c r="AF43" s="69"/>
      <c r="AG43" s="69"/>
      <c r="AH43" s="69"/>
    </row>
    <row r="44" spans="1:34" s="6" customFormat="1" ht="15.95" customHeight="1">
      <c r="A44" s="7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2"/>
      <c r="R44" s="68"/>
      <c r="S44" s="69"/>
      <c r="T44" s="69"/>
      <c r="U44" s="69"/>
      <c r="V44" s="69"/>
      <c r="W44" s="12"/>
      <c r="X44" s="68"/>
      <c r="Y44" s="69"/>
      <c r="Z44" s="69"/>
      <c r="AA44" s="69"/>
      <c r="AB44" s="69"/>
      <c r="AC44" s="12"/>
      <c r="AD44" s="68"/>
      <c r="AE44" s="69"/>
      <c r="AF44" s="69"/>
      <c r="AG44" s="69"/>
      <c r="AH44" s="69"/>
    </row>
    <row r="45" spans="1:34" s="6" customFormat="1" ht="15.95" customHeight="1">
      <c r="A45" s="7"/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2"/>
      <c r="R45" s="68"/>
      <c r="S45" s="69"/>
      <c r="T45" s="69"/>
      <c r="U45" s="69"/>
      <c r="V45" s="69"/>
      <c r="W45" s="11" t="s">
        <v>75</v>
      </c>
      <c r="X45" s="68">
        <f>SUM(K44:P45)</f>
        <v>0</v>
      </c>
      <c r="Y45" s="69"/>
      <c r="Z45" s="69"/>
      <c r="AA45" s="69"/>
      <c r="AB45" s="69"/>
      <c r="AC45" s="12"/>
      <c r="AD45" s="68"/>
      <c r="AE45" s="69"/>
      <c r="AF45" s="69"/>
      <c r="AG45" s="69"/>
      <c r="AH45" s="69"/>
    </row>
    <row r="46" spans="1:34" s="6" customFormat="1" ht="15.95" customHeight="1">
      <c r="A46" s="7" t="s">
        <v>99</v>
      </c>
      <c r="B46" s="96" t="s">
        <v>100</v>
      </c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7"/>
      <c r="Q46" s="12"/>
      <c r="R46" s="68"/>
      <c r="S46" s="69"/>
      <c r="T46" s="69"/>
      <c r="U46" s="69"/>
      <c r="V46" s="69"/>
      <c r="W46" s="12"/>
      <c r="X46" s="68"/>
      <c r="Y46" s="69"/>
      <c r="Z46" s="69"/>
      <c r="AA46" s="69"/>
      <c r="AB46" s="69"/>
      <c r="AC46" s="11" t="s">
        <v>75</v>
      </c>
      <c r="AD46" s="68">
        <f>AD41+X45</f>
        <v>0</v>
      </c>
      <c r="AE46" s="69"/>
      <c r="AF46" s="69"/>
      <c r="AG46" s="69"/>
      <c r="AH46" s="69"/>
    </row>
    <row r="47" spans="1:34" s="6" customFormat="1" ht="15.95" customHeight="1">
      <c r="A47" s="13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5"/>
      <c r="Q47" s="16"/>
      <c r="R47" s="98"/>
      <c r="S47" s="99"/>
      <c r="T47" s="99"/>
      <c r="U47" s="99"/>
      <c r="V47" s="99"/>
      <c r="W47" s="16"/>
      <c r="X47" s="98"/>
      <c r="Y47" s="99"/>
      <c r="Z47" s="99"/>
      <c r="AA47" s="99"/>
      <c r="AB47" s="99"/>
      <c r="AC47" s="16"/>
      <c r="AD47" s="98"/>
      <c r="AE47" s="99"/>
      <c r="AF47" s="99"/>
      <c r="AG47" s="99"/>
      <c r="AH47" s="99"/>
    </row>
    <row r="48" spans="1:34" s="6" customFormat="1" ht="15" customHeight="1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3"/>
    </row>
    <row r="49" spans="1:34" s="6" customFormat="1" ht="15" customHeight="1">
      <c r="A49" s="17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9"/>
      <c r="Q49" s="9"/>
      <c r="R49" s="94"/>
      <c r="S49" s="95"/>
      <c r="T49" s="95"/>
      <c r="U49" s="95"/>
      <c r="V49" s="95"/>
      <c r="W49" s="9"/>
      <c r="X49" s="96"/>
      <c r="Y49" s="96"/>
      <c r="Z49" s="96"/>
      <c r="AA49" s="96"/>
      <c r="AB49" s="97"/>
      <c r="AC49" s="9"/>
      <c r="AD49" s="96"/>
      <c r="AE49" s="96"/>
      <c r="AF49" s="96"/>
      <c r="AG49" s="96"/>
      <c r="AH49" s="97"/>
    </row>
    <row r="50" spans="1:34" s="6" customFormat="1" ht="15" customHeight="1">
      <c r="A50" s="7" t="s">
        <v>101</v>
      </c>
      <c r="B50" s="74" t="s">
        <v>102</v>
      </c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88"/>
      <c r="Q50" s="12"/>
      <c r="R50" s="68"/>
      <c r="S50" s="69"/>
      <c r="T50" s="69"/>
      <c r="U50" s="69"/>
      <c r="V50" s="69"/>
      <c r="W50" s="12"/>
      <c r="X50" s="88"/>
      <c r="Y50" s="89"/>
      <c r="Z50" s="89"/>
      <c r="AA50" s="89"/>
      <c r="AB50" s="89"/>
      <c r="AC50" s="90"/>
      <c r="AD50" s="78"/>
      <c r="AE50" s="78"/>
      <c r="AF50" s="78"/>
      <c r="AG50" s="78"/>
      <c r="AH50" s="91"/>
    </row>
    <row r="51" spans="1:34" s="6" customFormat="1" ht="15" customHeight="1">
      <c r="A51" s="20"/>
      <c r="B51" s="67" t="s">
        <v>103</v>
      </c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88"/>
      <c r="Q51" s="12"/>
      <c r="R51" s="68"/>
      <c r="S51" s="69"/>
      <c r="T51" s="69"/>
      <c r="U51" s="69"/>
      <c r="V51" s="69"/>
      <c r="W51" s="12"/>
      <c r="X51" s="88"/>
      <c r="Y51" s="89"/>
      <c r="Z51" s="89"/>
      <c r="AA51" s="89"/>
      <c r="AB51" s="89"/>
      <c r="AC51" s="12"/>
      <c r="AD51" s="88"/>
      <c r="AE51" s="89"/>
      <c r="AF51" s="89"/>
      <c r="AG51" s="89"/>
      <c r="AH51" s="89"/>
    </row>
    <row r="52" spans="1:34" s="6" customFormat="1" ht="15" customHeight="1">
      <c r="A52" s="20"/>
      <c r="B52" s="10" t="s">
        <v>104</v>
      </c>
      <c r="C52" s="67" t="s">
        <v>105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88"/>
      <c r="Q52" s="12"/>
      <c r="R52" s="68"/>
      <c r="S52" s="69"/>
      <c r="T52" s="69"/>
      <c r="U52" s="69"/>
      <c r="V52" s="69"/>
      <c r="W52" s="12"/>
      <c r="X52" s="88" t="s">
        <v>106</v>
      </c>
      <c r="Y52" s="89"/>
      <c r="Z52" s="89"/>
      <c r="AA52" s="89"/>
      <c r="AB52" s="89"/>
      <c r="AC52" s="90" t="s">
        <v>107</v>
      </c>
      <c r="AD52" s="78"/>
      <c r="AE52" s="78"/>
      <c r="AF52" s="78"/>
      <c r="AG52" s="78"/>
      <c r="AH52" s="91"/>
    </row>
    <row r="53" spans="1:34" s="6" customFormat="1" ht="15" customHeight="1">
      <c r="A53" s="20"/>
      <c r="B53" s="78" t="s">
        <v>108</v>
      </c>
      <c r="C53" s="78"/>
      <c r="D53" s="79" t="s">
        <v>20</v>
      </c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80"/>
      <c r="Q53" s="11" t="s">
        <v>75</v>
      </c>
      <c r="R53" s="71"/>
      <c r="S53" s="75"/>
      <c r="T53" s="75"/>
      <c r="U53" s="75"/>
      <c r="V53" s="75"/>
      <c r="W53" s="12"/>
      <c r="X53" s="88"/>
      <c r="Y53" s="89"/>
      <c r="Z53" s="89"/>
      <c r="AA53" s="89"/>
      <c r="AB53" s="89"/>
      <c r="AC53" s="12"/>
      <c r="AD53" s="88"/>
      <c r="AE53" s="89"/>
      <c r="AF53" s="89"/>
      <c r="AG53" s="89"/>
      <c r="AH53" s="89"/>
    </row>
    <row r="54" spans="1:34" s="6" customFormat="1" ht="15" customHeight="1">
      <c r="A54" s="20"/>
      <c r="B54" s="78" t="s">
        <v>109</v>
      </c>
      <c r="C54" s="78"/>
      <c r="D54" s="84" t="s">
        <v>110</v>
      </c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5"/>
      <c r="Q54" s="11" t="s">
        <v>75</v>
      </c>
      <c r="R54" s="71"/>
      <c r="S54" s="75"/>
      <c r="T54" s="75"/>
      <c r="U54" s="75"/>
      <c r="V54" s="75"/>
      <c r="W54" s="12"/>
      <c r="X54" s="88"/>
      <c r="Y54" s="89"/>
      <c r="Z54" s="89"/>
      <c r="AA54" s="89"/>
      <c r="AB54" s="89"/>
      <c r="AC54" s="12"/>
      <c r="AD54" s="88"/>
      <c r="AE54" s="89"/>
      <c r="AF54" s="89"/>
      <c r="AG54" s="89"/>
      <c r="AH54" s="89"/>
    </row>
    <row r="55" spans="1:34" s="6" customFormat="1" ht="15" customHeight="1">
      <c r="A55" s="20"/>
      <c r="B55" s="78" t="s">
        <v>111</v>
      </c>
      <c r="C55" s="78"/>
      <c r="D55" s="84" t="s">
        <v>112</v>
      </c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5"/>
      <c r="Q55" s="11" t="s">
        <v>75</v>
      </c>
      <c r="R55" s="71"/>
      <c r="S55" s="75"/>
      <c r="T55" s="75"/>
      <c r="U55" s="75"/>
      <c r="V55" s="75"/>
      <c r="W55" s="12"/>
      <c r="X55" s="88"/>
      <c r="Y55" s="89"/>
      <c r="Z55" s="89"/>
      <c r="AA55" s="89"/>
      <c r="AB55" s="89"/>
      <c r="AC55" s="12"/>
      <c r="AD55" s="88"/>
      <c r="AE55" s="89"/>
      <c r="AF55" s="89"/>
      <c r="AG55" s="89"/>
      <c r="AH55" s="89"/>
    </row>
    <row r="56" spans="1:34" s="6" customFormat="1" ht="15" customHeight="1">
      <c r="A56" s="20"/>
      <c r="B56" s="78" t="s">
        <v>113</v>
      </c>
      <c r="C56" s="78"/>
      <c r="D56" s="84" t="s">
        <v>26</v>
      </c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5"/>
      <c r="Q56" s="11" t="s">
        <v>75</v>
      </c>
      <c r="R56" s="71"/>
      <c r="S56" s="75"/>
      <c r="T56" s="75"/>
      <c r="U56" s="75"/>
      <c r="V56" s="75"/>
      <c r="W56" s="12"/>
      <c r="X56" s="88"/>
      <c r="Y56" s="89"/>
      <c r="Z56" s="89"/>
      <c r="AA56" s="89"/>
      <c r="AB56" s="89"/>
      <c r="AC56" s="12"/>
      <c r="AD56" s="88"/>
      <c r="AE56" s="89"/>
      <c r="AF56" s="89"/>
      <c r="AG56" s="89"/>
      <c r="AH56" s="89"/>
    </row>
    <row r="57" spans="1:34" s="6" customFormat="1" ht="15" customHeight="1">
      <c r="A57" s="20"/>
      <c r="B57" s="78" t="s">
        <v>114</v>
      </c>
      <c r="C57" s="78"/>
      <c r="D57" s="84" t="s">
        <v>30</v>
      </c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5"/>
      <c r="Q57" s="11" t="s">
        <v>75</v>
      </c>
      <c r="R57" s="71"/>
      <c r="S57" s="75"/>
      <c r="T57" s="75"/>
      <c r="U57" s="75"/>
      <c r="V57" s="75"/>
      <c r="W57" s="12"/>
      <c r="X57" s="88"/>
      <c r="Y57" s="89"/>
      <c r="Z57" s="89"/>
      <c r="AA57" s="89"/>
      <c r="AB57" s="89"/>
      <c r="AC57" s="12"/>
      <c r="AD57" s="88"/>
      <c r="AE57" s="89"/>
      <c r="AF57" s="89"/>
      <c r="AG57" s="89"/>
      <c r="AH57" s="89"/>
    </row>
    <row r="58" spans="1:34" s="6" customFormat="1" ht="15" customHeight="1">
      <c r="A58" s="20"/>
      <c r="B58" s="78" t="s">
        <v>115</v>
      </c>
      <c r="C58" s="78"/>
      <c r="D58" s="84" t="s">
        <v>29</v>
      </c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5"/>
      <c r="Q58" s="11" t="s">
        <v>75</v>
      </c>
      <c r="R58" s="71"/>
      <c r="S58" s="75"/>
      <c r="T58" s="75"/>
      <c r="U58" s="75"/>
      <c r="V58" s="75"/>
      <c r="W58" s="12"/>
      <c r="X58" s="68"/>
      <c r="Y58" s="69"/>
      <c r="Z58" s="69"/>
      <c r="AA58" s="69"/>
      <c r="AB58" s="69"/>
      <c r="AC58" s="12"/>
      <c r="AD58" s="68"/>
      <c r="AE58" s="69"/>
      <c r="AF58" s="69"/>
      <c r="AG58" s="69"/>
      <c r="AH58" s="69"/>
    </row>
    <row r="59" spans="1:34" s="6" customFormat="1" ht="15" customHeight="1">
      <c r="A59" s="20"/>
      <c r="B59" s="78" t="s">
        <v>116</v>
      </c>
      <c r="C59" s="78"/>
      <c r="D59" s="84" t="s">
        <v>33</v>
      </c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5"/>
      <c r="Q59" s="11" t="s">
        <v>75</v>
      </c>
      <c r="R59" s="71"/>
      <c r="S59" s="75"/>
      <c r="T59" s="75"/>
      <c r="U59" s="75"/>
      <c r="V59" s="75"/>
      <c r="W59" s="11"/>
      <c r="X59" s="68"/>
      <c r="Y59" s="69"/>
      <c r="Z59" s="69"/>
      <c r="AA59" s="69"/>
      <c r="AB59" s="69"/>
      <c r="AC59" s="11"/>
      <c r="AD59" s="68"/>
      <c r="AE59" s="69"/>
      <c r="AF59" s="69"/>
      <c r="AG59" s="69"/>
      <c r="AH59" s="69"/>
    </row>
    <row r="60" spans="1:34" s="6" customFormat="1" ht="15" customHeight="1">
      <c r="A60" s="20"/>
      <c r="B60" s="78" t="s">
        <v>116</v>
      </c>
      <c r="C60" s="78"/>
      <c r="D60" s="86" t="s">
        <v>117</v>
      </c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7"/>
      <c r="Q60" s="12" t="s">
        <v>75</v>
      </c>
      <c r="R60" s="71"/>
      <c r="S60" s="75"/>
      <c r="T60" s="75"/>
      <c r="U60" s="75"/>
      <c r="V60" s="75"/>
      <c r="W60" s="11"/>
      <c r="X60" s="71"/>
      <c r="Y60" s="75"/>
      <c r="Z60" s="75"/>
      <c r="AA60" s="75"/>
      <c r="AB60" s="75"/>
      <c r="AC60" s="11" t="s">
        <v>75</v>
      </c>
      <c r="AD60" s="71"/>
      <c r="AE60" s="75"/>
      <c r="AF60" s="75"/>
      <c r="AG60" s="75"/>
      <c r="AH60" s="75"/>
    </row>
    <row r="61" spans="1:34" s="6" customFormat="1" ht="15" customHeight="1">
      <c r="A61" s="20"/>
      <c r="B61" s="78" t="s">
        <v>118</v>
      </c>
      <c r="C61" s="78"/>
      <c r="D61" s="67" t="s">
        <v>119</v>
      </c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12" t="s">
        <v>75</v>
      </c>
      <c r="R61" s="68"/>
      <c r="S61" s="69"/>
      <c r="T61" s="69"/>
      <c r="U61" s="69"/>
      <c r="V61" s="69"/>
      <c r="W61" s="11" t="s">
        <v>75</v>
      </c>
      <c r="X61" s="71">
        <f>SUM(R53:V61)</f>
        <v>0</v>
      </c>
      <c r="Y61" s="75"/>
      <c r="Z61" s="75"/>
      <c r="AA61" s="75"/>
      <c r="AB61" s="75"/>
      <c r="AC61" s="11" t="s">
        <v>75</v>
      </c>
      <c r="AD61" s="71">
        <f>IF(X61+(R69-AD69)&gt;150000,150000,X61+(R69-AD69))</f>
        <v>0</v>
      </c>
      <c r="AE61" s="75"/>
      <c r="AF61" s="75"/>
      <c r="AG61" s="75"/>
      <c r="AH61" s="75"/>
    </row>
    <row r="62" spans="1:34" s="6" customFormat="1" ht="15" customHeight="1">
      <c r="A62" s="20"/>
      <c r="B62" s="81" t="s">
        <v>120</v>
      </c>
      <c r="C62" s="81"/>
      <c r="D62" s="82" t="s">
        <v>121</v>
      </c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12"/>
      <c r="R62" s="68"/>
      <c r="S62" s="69"/>
      <c r="T62" s="69"/>
      <c r="U62" s="69"/>
      <c r="V62" s="69"/>
      <c r="W62" s="12"/>
      <c r="X62" s="68"/>
      <c r="Y62" s="69"/>
      <c r="Z62" s="69"/>
      <c r="AA62" s="69"/>
      <c r="AB62" s="69"/>
      <c r="AC62" s="11"/>
      <c r="AD62" s="68"/>
      <c r="AE62" s="69"/>
      <c r="AF62" s="69"/>
      <c r="AG62" s="69"/>
      <c r="AH62" s="69"/>
    </row>
    <row r="63" spans="1:34" s="6" customFormat="1" ht="15" customHeight="1">
      <c r="A63" s="20"/>
      <c r="B63" s="81"/>
      <c r="C63" s="81"/>
      <c r="D63" s="83"/>
      <c r="E63" s="83"/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12"/>
      <c r="R63" s="68"/>
      <c r="S63" s="69"/>
      <c r="T63" s="69"/>
      <c r="U63" s="69"/>
      <c r="V63" s="69"/>
      <c r="W63" s="12"/>
      <c r="X63" s="68"/>
      <c r="Y63" s="69"/>
      <c r="Z63" s="69"/>
      <c r="AA63" s="69"/>
      <c r="AB63" s="69"/>
      <c r="AC63" s="12"/>
      <c r="AD63" s="68"/>
      <c r="AE63" s="69"/>
      <c r="AF63" s="69"/>
      <c r="AG63" s="69"/>
      <c r="AH63" s="69"/>
    </row>
    <row r="64" spans="1:34" s="6" customFormat="1" ht="15" customHeight="1">
      <c r="A64" s="20"/>
      <c r="B64" s="81">
        <v>2</v>
      </c>
      <c r="C64" s="81"/>
      <c r="D64" s="82" t="s">
        <v>122</v>
      </c>
      <c r="E64" s="82"/>
      <c r="F64" s="82"/>
      <c r="G64" s="82"/>
      <c r="H64" s="82"/>
      <c r="I64" s="82"/>
      <c r="J64" s="82"/>
      <c r="K64" s="82"/>
      <c r="L64" s="82"/>
      <c r="M64" s="82"/>
      <c r="N64" s="82"/>
      <c r="O64" s="82"/>
      <c r="P64" s="82"/>
      <c r="Q64" s="12"/>
      <c r="R64" s="68"/>
      <c r="S64" s="69"/>
      <c r="T64" s="69"/>
      <c r="U64" s="69"/>
      <c r="V64" s="69"/>
      <c r="W64" s="12"/>
      <c r="X64" s="68"/>
      <c r="Y64" s="69"/>
      <c r="Z64" s="69"/>
      <c r="AA64" s="69"/>
      <c r="AB64" s="69"/>
      <c r="AC64" s="12"/>
      <c r="AD64" s="68"/>
      <c r="AE64" s="69"/>
      <c r="AF64" s="69"/>
      <c r="AG64" s="69"/>
      <c r="AH64" s="69"/>
    </row>
    <row r="65" spans="1:36" s="6" customFormat="1" ht="15" customHeight="1">
      <c r="A65" s="20"/>
      <c r="B65" s="81"/>
      <c r="C65" s="81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12"/>
      <c r="R65" s="68"/>
      <c r="S65" s="69"/>
      <c r="T65" s="69"/>
      <c r="U65" s="69"/>
      <c r="V65" s="69"/>
      <c r="W65" s="12"/>
      <c r="X65" s="68"/>
      <c r="Y65" s="69"/>
      <c r="Z65" s="69"/>
      <c r="AA65" s="69"/>
      <c r="AB65" s="69"/>
      <c r="AC65" s="12"/>
      <c r="AD65" s="68"/>
      <c r="AE65" s="69"/>
      <c r="AF65" s="69"/>
      <c r="AG65" s="69"/>
      <c r="AH65" s="69"/>
    </row>
    <row r="66" spans="1:36" s="6" customFormat="1" ht="15" customHeight="1">
      <c r="A66" s="20"/>
      <c r="B66" s="21"/>
      <c r="C66" s="21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12"/>
      <c r="R66" s="68"/>
      <c r="S66" s="69"/>
      <c r="T66" s="69"/>
      <c r="U66" s="69"/>
      <c r="V66" s="69"/>
      <c r="W66" s="12"/>
      <c r="X66" s="68"/>
      <c r="Y66" s="69"/>
      <c r="Z66" s="69"/>
      <c r="AA66" s="69"/>
      <c r="AB66" s="69"/>
      <c r="AC66" s="12"/>
      <c r="AD66" s="68"/>
      <c r="AE66" s="69"/>
      <c r="AF66" s="69"/>
      <c r="AG66" s="69"/>
      <c r="AH66" s="69"/>
    </row>
    <row r="67" spans="1:36" s="6" customFormat="1" ht="15" customHeight="1">
      <c r="A67" s="20"/>
      <c r="B67" s="10" t="s">
        <v>123</v>
      </c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2"/>
      <c r="R67" s="68"/>
      <c r="S67" s="69"/>
      <c r="T67" s="69"/>
      <c r="U67" s="69"/>
      <c r="V67" s="69"/>
      <c r="W67" s="12"/>
      <c r="X67" s="68"/>
      <c r="Y67" s="69"/>
      <c r="Z67" s="69"/>
      <c r="AA67" s="69"/>
      <c r="AB67" s="69"/>
      <c r="AC67" s="12"/>
      <c r="AD67" s="68"/>
      <c r="AE67" s="69"/>
      <c r="AF67" s="69"/>
      <c r="AG67" s="69"/>
      <c r="AH67" s="69"/>
    </row>
    <row r="68" spans="1:36" s="6" customFormat="1" ht="15" customHeight="1">
      <c r="A68" s="2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2"/>
      <c r="R68" s="68"/>
      <c r="S68" s="69"/>
      <c r="T68" s="69"/>
      <c r="U68" s="69"/>
      <c r="V68" s="69"/>
      <c r="W68" s="12"/>
      <c r="X68" s="68"/>
      <c r="Y68" s="69"/>
      <c r="Z68" s="69"/>
      <c r="AA68" s="69"/>
      <c r="AB68" s="69"/>
      <c r="AC68" s="12"/>
      <c r="AD68" s="68"/>
      <c r="AE68" s="69"/>
      <c r="AF68" s="69"/>
      <c r="AG68" s="69"/>
      <c r="AH68" s="69"/>
    </row>
    <row r="69" spans="1:36" s="6" customFormat="1" ht="15" customHeight="1">
      <c r="A69" s="20"/>
      <c r="B69" s="78" t="s">
        <v>108</v>
      </c>
      <c r="C69" s="78"/>
      <c r="D69" s="79" t="s">
        <v>124</v>
      </c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80"/>
      <c r="Q69" s="11" t="s">
        <v>75</v>
      </c>
      <c r="R69" s="71"/>
      <c r="S69" s="75"/>
      <c r="T69" s="75"/>
      <c r="U69" s="75"/>
      <c r="V69" s="75"/>
      <c r="W69" s="11" t="s">
        <v>75</v>
      </c>
      <c r="X69" s="71"/>
      <c r="Y69" s="75"/>
      <c r="Z69" s="75"/>
      <c r="AA69" s="75"/>
      <c r="AB69" s="75"/>
      <c r="AC69" s="11" t="s">
        <v>75</v>
      </c>
      <c r="AD69" s="71">
        <f>IF(R69&gt;50000,50000,R69)</f>
        <v>0</v>
      </c>
      <c r="AE69" s="75"/>
      <c r="AF69" s="75"/>
      <c r="AG69" s="75"/>
      <c r="AH69" s="75"/>
    </row>
    <row r="70" spans="1:36" s="6" customFormat="1" ht="19.5" customHeight="1">
      <c r="A70" s="20"/>
      <c r="B70" s="78"/>
      <c r="C70" s="78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80"/>
      <c r="Q70" s="11" t="s">
        <v>75</v>
      </c>
      <c r="R70" s="71"/>
      <c r="S70" s="75"/>
      <c r="T70" s="75"/>
      <c r="U70" s="75"/>
      <c r="V70" s="75"/>
      <c r="W70" s="11" t="s">
        <v>75</v>
      </c>
      <c r="X70" s="71"/>
      <c r="Y70" s="75"/>
      <c r="Z70" s="75"/>
      <c r="AA70" s="75"/>
      <c r="AB70" s="75"/>
      <c r="AC70" s="11" t="s">
        <v>75</v>
      </c>
      <c r="AD70" s="71"/>
      <c r="AE70" s="75"/>
      <c r="AF70" s="75"/>
      <c r="AG70" s="75"/>
      <c r="AH70" s="75"/>
    </row>
    <row r="71" spans="1:36" s="6" customFormat="1" ht="15" customHeight="1">
      <c r="A71" s="20"/>
      <c r="B71" s="10" t="s">
        <v>125</v>
      </c>
      <c r="C71" s="22" t="s">
        <v>126</v>
      </c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4"/>
      <c r="Q71" s="11" t="s">
        <v>75</v>
      </c>
      <c r="R71" s="71"/>
      <c r="S71" s="75"/>
      <c r="T71" s="75"/>
      <c r="U71" s="75"/>
      <c r="V71" s="75"/>
      <c r="W71" s="11" t="s">
        <v>75</v>
      </c>
      <c r="X71" s="71"/>
      <c r="Y71" s="75"/>
      <c r="Z71" s="75"/>
      <c r="AA71" s="75"/>
      <c r="AB71" s="75"/>
      <c r="AC71" s="11" t="s">
        <v>75</v>
      </c>
      <c r="AD71" s="71"/>
      <c r="AE71" s="75"/>
      <c r="AF71" s="75"/>
      <c r="AG71" s="75"/>
      <c r="AH71" s="75"/>
    </row>
    <row r="72" spans="1:36" s="6" customFormat="1" ht="15" customHeight="1">
      <c r="A72" s="20"/>
      <c r="B72" s="78" t="s">
        <v>108</v>
      </c>
      <c r="C72" s="78"/>
      <c r="D72" s="79" t="s">
        <v>21</v>
      </c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80"/>
      <c r="Q72" s="11" t="s">
        <v>75</v>
      </c>
      <c r="R72" s="71">
        <f>[1]SEARCH!S50</f>
        <v>0</v>
      </c>
      <c r="S72" s="75"/>
      <c r="T72" s="75"/>
      <c r="U72" s="75"/>
      <c r="V72" s="75"/>
      <c r="W72" s="11" t="s">
        <v>75</v>
      </c>
      <c r="X72" s="71">
        <f>R72</f>
        <v>0</v>
      </c>
      <c r="Y72" s="75"/>
      <c r="Z72" s="75"/>
      <c r="AA72" s="75"/>
      <c r="AB72" s="75"/>
      <c r="AC72" s="11" t="s">
        <v>75</v>
      </c>
      <c r="AD72" s="71"/>
      <c r="AE72" s="75"/>
      <c r="AF72" s="75"/>
      <c r="AG72" s="75"/>
      <c r="AH72" s="75"/>
    </row>
    <row r="73" spans="1:36" s="6" customFormat="1" ht="15" customHeight="1">
      <c r="A73" s="20"/>
      <c r="B73" s="78" t="s">
        <v>109</v>
      </c>
      <c r="C73" s="78"/>
      <c r="D73" s="79" t="s">
        <v>127</v>
      </c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80"/>
      <c r="Q73" s="11" t="s">
        <v>75</v>
      </c>
      <c r="R73" s="71">
        <f>[1]SEARCH!S51</f>
        <v>0</v>
      </c>
      <c r="S73" s="75"/>
      <c r="T73" s="75"/>
      <c r="U73" s="75"/>
      <c r="V73" s="75"/>
      <c r="W73" s="11" t="s">
        <v>75</v>
      </c>
      <c r="X73" s="71">
        <f>R73</f>
        <v>0</v>
      </c>
      <c r="Y73" s="75"/>
      <c r="Z73" s="75"/>
      <c r="AA73" s="75"/>
      <c r="AB73" s="75"/>
      <c r="AC73" s="11" t="s">
        <v>75</v>
      </c>
      <c r="AD73" s="71">
        <f>IF(SUM(X72:AB73)&gt;50000,50000,SUM(X72:AB73))</f>
        <v>0</v>
      </c>
      <c r="AE73" s="75"/>
      <c r="AF73" s="75"/>
      <c r="AG73" s="75"/>
      <c r="AH73" s="75"/>
    </row>
    <row r="74" spans="1:36" s="6" customFormat="1" ht="15" customHeight="1">
      <c r="A74" s="2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2"/>
      <c r="R74" s="68"/>
      <c r="S74" s="69"/>
      <c r="T74" s="69"/>
      <c r="U74" s="69"/>
      <c r="V74" s="69"/>
      <c r="W74" s="12"/>
      <c r="X74" s="68"/>
      <c r="Y74" s="69"/>
      <c r="Z74" s="69"/>
      <c r="AA74" s="69"/>
      <c r="AB74" s="69"/>
      <c r="AC74" s="12"/>
      <c r="AD74" s="68"/>
      <c r="AE74" s="69"/>
      <c r="AF74" s="69"/>
      <c r="AG74" s="69"/>
      <c r="AH74" s="69"/>
    </row>
    <row r="75" spans="1:36" s="6" customFormat="1" ht="15" customHeight="1">
      <c r="A75" s="7" t="s">
        <v>128</v>
      </c>
      <c r="B75" s="67" t="s">
        <v>129</v>
      </c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12"/>
      <c r="R75" s="68"/>
      <c r="S75" s="69"/>
      <c r="T75" s="69"/>
      <c r="U75" s="69"/>
      <c r="V75" s="69"/>
      <c r="W75" s="12"/>
      <c r="X75" s="68"/>
      <c r="Y75" s="69"/>
      <c r="Z75" s="69"/>
      <c r="AA75" s="69"/>
      <c r="AB75" s="69"/>
      <c r="AC75" s="11" t="s">
        <v>75</v>
      </c>
      <c r="AD75" s="68">
        <f>SUM(AD60:AH73)</f>
        <v>0</v>
      </c>
      <c r="AE75" s="69"/>
      <c r="AF75" s="69"/>
      <c r="AG75" s="69"/>
      <c r="AH75" s="69"/>
    </row>
    <row r="76" spans="1:36" s="6" customFormat="1" ht="15" customHeight="1">
      <c r="A76" s="7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2"/>
      <c r="R76" s="68"/>
      <c r="S76" s="69"/>
      <c r="T76" s="69"/>
      <c r="U76" s="69"/>
      <c r="V76" s="69"/>
      <c r="W76" s="12"/>
      <c r="X76" s="68"/>
      <c r="Y76" s="69"/>
      <c r="Z76" s="69"/>
      <c r="AA76" s="69"/>
      <c r="AB76" s="69"/>
      <c r="AC76" s="12"/>
      <c r="AD76" s="68"/>
      <c r="AE76" s="69"/>
      <c r="AF76" s="69"/>
      <c r="AG76" s="69"/>
      <c r="AH76" s="69"/>
    </row>
    <row r="77" spans="1:36" s="6" customFormat="1" ht="15" customHeight="1">
      <c r="A77" s="7" t="s">
        <v>130</v>
      </c>
      <c r="B77" s="67" t="s">
        <v>131</v>
      </c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12"/>
      <c r="R77" s="68"/>
      <c r="S77" s="69"/>
      <c r="T77" s="69"/>
      <c r="U77" s="69"/>
      <c r="V77" s="69"/>
      <c r="W77" s="12"/>
      <c r="X77" s="68"/>
      <c r="Y77" s="69"/>
      <c r="Z77" s="69"/>
      <c r="AA77" s="69"/>
      <c r="AB77" s="69"/>
      <c r="AC77" s="11" t="s">
        <v>75</v>
      </c>
      <c r="AD77" s="68">
        <f>AD46-AD75</f>
        <v>0</v>
      </c>
      <c r="AE77" s="69"/>
      <c r="AF77" s="69"/>
      <c r="AG77" s="69"/>
      <c r="AH77" s="69"/>
      <c r="AJ77" s="25">
        <f>IF([2]Sheet2!A2=1,IF(AD77&gt;250000,IF((AD77-250000)*0.1&gt;2000,2000,(AD77-250000)*0.1),0))+IF([2]Sheet2!A2=2,IF(AD77&gt;300000,IF((AD77-300000)*0.1&gt;2000,2000,(AD77-300000)*0.1),0))</f>
        <v>0</v>
      </c>
    </row>
    <row r="78" spans="1:36" s="6" customFormat="1" ht="15" customHeight="1">
      <c r="A78" s="7" t="s">
        <v>132</v>
      </c>
      <c r="B78" s="10" t="s">
        <v>133</v>
      </c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2"/>
      <c r="R78" s="68"/>
      <c r="S78" s="69"/>
      <c r="T78" s="69"/>
      <c r="U78" s="69"/>
      <c r="V78" s="69"/>
      <c r="W78" s="12"/>
      <c r="X78" s="68"/>
      <c r="Y78" s="69"/>
      <c r="Z78" s="69"/>
      <c r="AA78" s="69"/>
      <c r="AB78" s="69"/>
      <c r="AC78" s="11" t="s">
        <v>75</v>
      </c>
      <c r="AD78" s="76">
        <f>calculate_tax(AD77)</f>
        <v>0</v>
      </c>
      <c r="AE78" s="76"/>
      <c r="AF78" s="76"/>
      <c r="AG78" s="76"/>
      <c r="AH78" s="77"/>
    </row>
    <row r="79" spans="1:36" s="6" customFormat="1" ht="15" customHeight="1">
      <c r="A79" s="7" t="s">
        <v>134</v>
      </c>
      <c r="B79" s="10" t="s">
        <v>135</v>
      </c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2"/>
      <c r="R79" s="68"/>
      <c r="S79" s="69"/>
      <c r="T79" s="69"/>
      <c r="U79" s="69"/>
      <c r="V79" s="69"/>
      <c r="W79" s="12"/>
      <c r="X79" s="68"/>
      <c r="Y79" s="69"/>
      <c r="Z79" s="69"/>
      <c r="AA79" s="69"/>
      <c r="AB79" s="69"/>
      <c r="AC79" s="11" t="s">
        <v>75</v>
      </c>
      <c r="AD79" s="68">
        <f>ROUND(AD78*3/100,0)</f>
        <v>0</v>
      </c>
      <c r="AE79" s="69"/>
      <c r="AF79" s="69"/>
      <c r="AG79" s="69"/>
      <c r="AH79" s="69"/>
    </row>
    <row r="80" spans="1:36" s="6" customFormat="1" ht="15" customHeight="1">
      <c r="A80" s="7" t="s">
        <v>136</v>
      </c>
      <c r="B80" s="10" t="s">
        <v>137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2"/>
      <c r="R80" s="68"/>
      <c r="S80" s="69"/>
      <c r="T80" s="69"/>
      <c r="U80" s="69"/>
      <c r="V80" s="69"/>
      <c r="W80" s="12"/>
      <c r="X80" s="68"/>
      <c r="Y80" s="69"/>
      <c r="Z80" s="69"/>
      <c r="AA80" s="69"/>
      <c r="AB80" s="69"/>
      <c r="AC80" s="11" t="s">
        <v>75</v>
      </c>
      <c r="AD80" s="68">
        <f>AD78+AD79</f>
        <v>0</v>
      </c>
      <c r="AE80" s="69"/>
      <c r="AF80" s="69"/>
      <c r="AG80" s="69"/>
      <c r="AH80" s="69"/>
    </row>
    <row r="81" spans="1:34" s="6" customFormat="1" ht="15" customHeight="1">
      <c r="A81" s="7" t="s">
        <v>138</v>
      </c>
      <c r="B81" s="74" t="s">
        <v>139</v>
      </c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12"/>
      <c r="R81" s="68"/>
      <c r="S81" s="69"/>
      <c r="T81" s="69"/>
      <c r="U81" s="69"/>
      <c r="V81" s="69"/>
      <c r="W81" s="12"/>
      <c r="X81" s="68"/>
      <c r="Y81" s="69"/>
      <c r="Z81" s="69"/>
      <c r="AA81" s="69"/>
      <c r="AB81" s="69"/>
      <c r="AC81" s="11" t="s">
        <v>75</v>
      </c>
      <c r="AD81" s="71"/>
      <c r="AE81" s="75"/>
      <c r="AF81" s="75"/>
      <c r="AG81" s="75"/>
      <c r="AH81" s="75"/>
    </row>
    <row r="82" spans="1:34" s="6" customFormat="1" ht="15" customHeight="1">
      <c r="A82" s="7" t="s">
        <v>140</v>
      </c>
      <c r="B82" s="67" t="s">
        <v>141</v>
      </c>
      <c r="C82" s="67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12"/>
      <c r="R82" s="68"/>
      <c r="S82" s="69"/>
      <c r="T82" s="69"/>
      <c r="U82" s="69"/>
      <c r="V82" s="69"/>
      <c r="W82" s="12"/>
      <c r="X82" s="68"/>
      <c r="Y82" s="69"/>
      <c r="Z82" s="69"/>
      <c r="AA82" s="69"/>
      <c r="AB82" s="69"/>
      <c r="AC82" s="11" t="s">
        <v>75</v>
      </c>
      <c r="AD82" s="68">
        <f>AD80-AD81</f>
        <v>0</v>
      </c>
      <c r="AE82" s="69"/>
      <c r="AF82" s="69"/>
      <c r="AG82" s="69"/>
      <c r="AH82" s="69"/>
    </row>
    <row r="83" spans="1:34" s="6" customFormat="1" ht="15" customHeight="1">
      <c r="A83" s="7" t="s">
        <v>142</v>
      </c>
      <c r="B83" s="10" t="s">
        <v>143</v>
      </c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2"/>
      <c r="R83" s="26"/>
      <c r="S83" s="26"/>
      <c r="T83" s="26"/>
      <c r="U83" s="26"/>
      <c r="V83" s="26"/>
      <c r="W83" s="12"/>
      <c r="X83" s="26"/>
      <c r="Y83" s="26"/>
      <c r="Z83" s="26"/>
      <c r="AA83" s="26"/>
      <c r="AB83" s="26"/>
      <c r="AC83" s="11" t="s">
        <v>75</v>
      </c>
      <c r="AD83" s="70"/>
      <c r="AE83" s="70"/>
      <c r="AF83" s="70"/>
      <c r="AG83" s="70"/>
      <c r="AH83" s="71"/>
    </row>
    <row r="84" spans="1:34" s="6" customFormat="1" ht="15" customHeight="1">
      <c r="A84" s="7" t="s">
        <v>144</v>
      </c>
      <c r="B84" s="10" t="s">
        <v>145</v>
      </c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2"/>
      <c r="R84" s="26"/>
      <c r="S84" s="26"/>
      <c r="T84" s="26"/>
      <c r="U84" s="26"/>
      <c r="V84" s="26"/>
      <c r="W84" s="12"/>
      <c r="X84" s="26"/>
      <c r="Y84" s="26"/>
      <c r="Z84" s="26"/>
      <c r="AA84" s="26"/>
      <c r="AB84" s="26"/>
      <c r="AC84" s="11" t="s">
        <v>75</v>
      </c>
      <c r="AD84" s="72">
        <f>AD82-AD83</f>
        <v>0</v>
      </c>
      <c r="AE84" s="73"/>
      <c r="AF84" s="73"/>
      <c r="AG84" s="73"/>
      <c r="AH84" s="68"/>
    </row>
    <row r="85" spans="1:34" s="6" customFormat="1" ht="5.0999999999999996" customHeight="1">
      <c r="A85" s="27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6"/>
      <c r="R85" s="28"/>
      <c r="S85" s="28"/>
      <c r="T85" s="28"/>
      <c r="U85" s="28"/>
      <c r="V85" s="28"/>
      <c r="W85" s="16"/>
      <c r="X85" s="28"/>
      <c r="Y85" s="28"/>
      <c r="Z85" s="28"/>
      <c r="AA85" s="28"/>
      <c r="AB85" s="28"/>
      <c r="AC85" s="16"/>
      <c r="AD85" s="28"/>
      <c r="AE85" s="28"/>
      <c r="AF85" s="28"/>
      <c r="AG85" s="28"/>
      <c r="AH85" s="29"/>
    </row>
    <row r="86" spans="1:34" s="6" customFormat="1" ht="15" customHeight="1">
      <c r="A86" s="59" t="s">
        <v>146</v>
      </c>
      <c r="B86" s="59"/>
      <c r="C86" s="59"/>
      <c r="D86" s="59"/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59"/>
      <c r="AA86" s="59"/>
      <c r="AB86" s="59"/>
      <c r="AC86" s="59"/>
      <c r="AD86" s="59"/>
      <c r="AE86" s="59"/>
      <c r="AF86" s="59"/>
      <c r="AG86" s="59"/>
      <c r="AH86" s="59"/>
    </row>
    <row r="87" spans="1:34" s="6" customFormat="1" ht="15" customHeight="1">
      <c r="A87" s="59"/>
      <c r="B87" s="59"/>
      <c r="C87" s="59"/>
      <c r="D87" s="59"/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  <c r="AD87" s="59"/>
      <c r="AE87" s="59"/>
      <c r="AF87" s="59"/>
      <c r="AG87" s="59"/>
      <c r="AH87" s="59"/>
    </row>
    <row r="88" spans="1:34" s="6" customFormat="1" ht="15" customHeight="1">
      <c r="A88" s="30" t="s">
        <v>147</v>
      </c>
      <c r="B88" s="60" t="s">
        <v>148</v>
      </c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1" t="s">
        <v>149</v>
      </c>
      <c r="R88" s="61"/>
      <c r="S88" s="61"/>
      <c r="T88" s="61"/>
      <c r="U88" s="61"/>
      <c r="V88" s="60" t="s">
        <v>150</v>
      </c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2"/>
    </row>
    <row r="89" spans="1:34" s="6" customFormat="1" ht="15" customHeight="1">
      <c r="A89" s="31" t="s">
        <v>151</v>
      </c>
      <c r="B89" s="32"/>
      <c r="C89" s="32"/>
      <c r="D89" s="32"/>
      <c r="E89" s="32"/>
      <c r="F89" s="32"/>
      <c r="G89" s="32"/>
      <c r="H89" s="63" t="s">
        <v>152</v>
      </c>
      <c r="I89" s="63"/>
      <c r="J89" s="63"/>
      <c r="K89" s="63"/>
      <c r="L89" s="63"/>
      <c r="M89" s="63"/>
      <c r="N89" s="63"/>
      <c r="O89" s="63"/>
      <c r="P89" s="63"/>
      <c r="Q89" s="64" t="s">
        <v>153</v>
      </c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5">
        <f>AD83</f>
        <v>0</v>
      </c>
      <c r="AE89" s="63"/>
      <c r="AF89" s="63"/>
      <c r="AG89" s="63"/>
      <c r="AH89" s="66"/>
    </row>
    <row r="90" spans="1:34" s="6" customFormat="1" ht="15" customHeight="1">
      <c r="A90" s="20" t="s">
        <v>154</v>
      </c>
      <c r="B90" s="48">
        <f>[3]!SPELLNUMBER(AD83)</f>
        <v>0</v>
      </c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10" t="s">
        <v>155</v>
      </c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33"/>
    </row>
    <row r="91" spans="1:34" s="6" customFormat="1" ht="15" customHeight="1">
      <c r="A91" s="20" t="s">
        <v>156</v>
      </c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33"/>
    </row>
    <row r="92" spans="1:34" s="6" customFormat="1" ht="15" customHeight="1">
      <c r="A92" s="27" t="s">
        <v>157</v>
      </c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5"/>
    </row>
    <row r="93" spans="1:34" s="6" customFormat="1" ht="15" customHeight="1">
      <c r="A93" s="49" t="s">
        <v>158</v>
      </c>
      <c r="B93" s="50"/>
      <c r="C93" s="50"/>
      <c r="D93" s="51"/>
      <c r="E93" s="52" t="s">
        <v>159</v>
      </c>
      <c r="F93" s="53"/>
      <c r="G93" s="53"/>
      <c r="H93" s="53"/>
      <c r="I93" s="53"/>
      <c r="J93" s="53"/>
      <c r="K93" s="53"/>
      <c r="L93" s="54"/>
      <c r="M93" s="55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18"/>
      <c r="AB93" s="18"/>
      <c r="AC93" s="18"/>
      <c r="AD93" s="18"/>
      <c r="AE93" s="18"/>
      <c r="AF93" s="18"/>
      <c r="AG93" s="18"/>
      <c r="AH93" s="19"/>
    </row>
    <row r="94" spans="1:34" s="6" customFormat="1" ht="15" customHeight="1">
      <c r="A94" s="41" t="s">
        <v>160</v>
      </c>
      <c r="B94" s="41"/>
      <c r="C94" s="41"/>
      <c r="D94" s="41"/>
      <c r="E94" s="52" t="s">
        <v>161</v>
      </c>
      <c r="F94" s="53"/>
      <c r="G94" s="53"/>
      <c r="H94" s="53"/>
      <c r="I94" s="53"/>
      <c r="J94" s="53"/>
      <c r="K94" s="53"/>
      <c r="L94" s="54"/>
      <c r="M94" s="57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10"/>
      <c r="AB94" s="10"/>
      <c r="AC94" s="10"/>
      <c r="AD94" s="10"/>
      <c r="AE94" s="10"/>
      <c r="AF94" s="10"/>
      <c r="AG94" s="10"/>
      <c r="AH94" s="33"/>
    </row>
    <row r="95" spans="1:34" s="6" customFormat="1" ht="15" customHeight="1">
      <c r="A95" s="41" t="s">
        <v>162</v>
      </c>
      <c r="B95" s="41"/>
      <c r="C95" s="41"/>
      <c r="D95" s="41"/>
      <c r="E95" s="42" t="s">
        <v>163</v>
      </c>
      <c r="F95" s="43"/>
      <c r="G95" s="43"/>
      <c r="H95" s="43"/>
      <c r="I95" s="43"/>
      <c r="J95" s="43"/>
      <c r="K95" s="43"/>
      <c r="L95" s="44"/>
      <c r="M95" s="45" t="s">
        <v>164</v>
      </c>
      <c r="N95" s="45"/>
      <c r="O95" s="45"/>
      <c r="P95" s="45"/>
      <c r="Q95" s="46" t="s">
        <v>148</v>
      </c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</row>
    <row r="96" spans="1:34" s="6" customFormat="1" ht="36.75" customHeight="1">
      <c r="A96" s="34"/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</row>
    <row r="97" spans="1:67" s="6" customFormat="1" ht="15" customHeight="1">
      <c r="A97" s="36" t="s">
        <v>165</v>
      </c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</row>
    <row r="98" spans="1:67" s="6" customFormat="1" ht="20.100000000000001" customHeight="1">
      <c r="A98" s="37" t="s">
        <v>71</v>
      </c>
      <c r="B98" s="47" t="s">
        <v>166</v>
      </c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</row>
    <row r="99" spans="1:67" s="6" customFormat="1" ht="20.100000000000001" customHeight="1">
      <c r="A99" s="3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</row>
    <row r="100" spans="1:67" s="6" customFormat="1" ht="27.95" customHeight="1">
      <c r="A100" s="37" t="s">
        <v>81</v>
      </c>
      <c r="B100" s="47" t="s">
        <v>167</v>
      </c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</row>
    <row r="101" spans="1:67" s="6" customFormat="1" ht="15" customHeight="1">
      <c r="A101" s="36" t="s">
        <v>86</v>
      </c>
      <c r="B101" s="38" t="s">
        <v>168</v>
      </c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</row>
    <row r="102" spans="1:67" s="6" customFormat="1" ht="15" customHeight="1">
      <c r="A102" s="36" t="s">
        <v>88</v>
      </c>
      <c r="B102" s="38" t="s">
        <v>169</v>
      </c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</row>
    <row r="103" spans="1:67" s="6" customFormat="1" ht="15" customHeight="1">
      <c r="A103" s="36"/>
      <c r="B103" s="38" t="s">
        <v>170</v>
      </c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</row>
    <row r="104" spans="1:67" s="6" customFormat="1" ht="15" customHeight="1">
      <c r="A104" s="36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</row>
    <row r="105" spans="1:67" s="6" customFormat="1" ht="15" customHeight="1">
      <c r="A105" s="34"/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</row>
    <row r="106" spans="1:67" s="6" customFormat="1" ht="15" customHeight="1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</row>
    <row r="107" spans="1:67" s="6" customFormat="1" ht="15" customHeight="1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</row>
    <row r="108" spans="1:67" s="6" customFormat="1" ht="15" customHeight="1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</row>
    <row r="109" spans="1:67" s="6" customFormat="1" ht="15" customHeight="1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</row>
    <row r="110" spans="1:67" s="6" customFormat="1" ht="15" customHeight="1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</row>
    <row r="111" spans="1:67" s="6" customFormat="1" ht="15" customHeight="1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</row>
    <row r="112" spans="1:67" s="6" customFormat="1" ht="15" customHeight="1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</row>
    <row r="113" spans="1:67" s="6" customFormat="1" ht="15" customHeight="1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</row>
    <row r="114" spans="1:67" s="6" customFormat="1" ht="15" customHeight="1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</row>
    <row r="115" spans="1:67" s="6" customFormat="1" ht="15" customHeight="1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</row>
    <row r="116" spans="1:67" s="6" customFormat="1" ht="15" customHeight="1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</row>
    <row r="117" spans="1:67" s="6" customFormat="1" ht="15" customHeight="1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</row>
    <row r="118" spans="1:67" s="6" customFormat="1" ht="15" customHeight="1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</row>
    <row r="119" spans="1:67" s="6" customFormat="1" ht="15" customHeight="1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</row>
    <row r="120" spans="1:67" s="6" customFormat="1" ht="15" customHeight="1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  <c r="BD120" s="39"/>
      <c r="BE120" s="39"/>
      <c r="BF120" s="39"/>
      <c r="BG120" s="39"/>
      <c r="BH120" s="39"/>
      <c r="BI120" s="39"/>
      <c r="BJ120" s="39"/>
      <c r="BK120" s="39"/>
      <c r="BL120" s="39"/>
      <c r="BM120" s="39"/>
      <c r="BN120" s="39"/>
      <c r="BO120" s="39"/>
    </row>
    <row r="121" spans="1:67" s="6" customFormat="1" ht="15" customHeight="1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  <c r="BD121" s="39"/>
      <c r="BE121" s="39"/>
      <c r="BF121" s="39"/>
      <c r="BG121" s="39"/>
      <c r="BH121" s="39"/>
      <c r="BI121" s="39"/>
      <c r="BJ121" s="39"/>
      <c r="BK121" s="39"/>
      <c r="BL121" s="39"/>
      <c r="BM121" s="39"/>
      <c r="BN121" s="39"/>
      <c r="BO121" s="39"/>
    </row>
    <row r="122" spans="1:67" s="6" customFormat="1" ht="15" customHeight="1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  <c r="BD122" s="39"/>
      <c r="BE122" s="39"/>
      <c r="BF122" s="39"/>
      <c r="BG122" s="39"/>
      <c r="BH122" s="39"/>
      <c r="BI122" s="39"/>
      <c r="BJ122" s="39"/>
      <c r="BK122" s="39"/>
      <c r="BL122" s="39"/>
      <c r="BM122" s="39"/>
      <c r="BN122" s="39"/>
      <c r="BO122" s="39"/>
    </row>
    <row r="123" spans="1:67" s="6" customFormat="1" ht="15" customHeight="1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  <c r="BD123" s="39"/>
      <c r="BE123" s="39"/>
      <c r="BF123" s="39"/>
      <c r="BG123" s="39"/>
      <c r="BH123" s="39"/>
      <c r="BI123" s="39"/>
      <c r="BJ123" s="39"/>
      <c r="BK123" s="39"/>
      <c r="BL123" s="39"/>
      <c r="BM123" s="39"/>
      <c r="BN123" s="39"/>
      <c r="BO123" s="39"/>
    </row>
    <row r="124" spans="1:67" s="6" customFormat="1" ht="15" customHeight="1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  <c r="BD124" s="39"/>
      <c r="BE124" s="39"/>
      <c r="BF124" s="39"/>
      <c r="BG124" s="39"/>
      <c r="BH124" s="39"/>
      <c r="BI124" s="39"/>
      <c r="BJ124" s="39"/>
      <c r="BK124" s="39"/>
      <c r="BL124" s="39"/>
      <c r="BM124" s="39"/>
      <c r="BN124" s="39"/>
      <c r="BO124" s="39"/>
    </row>
    <row r="125" spans="1:67" s="6" customFormat="1" ht="15" customHeight="1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  <c r="BD125" s="39"/>
      <c r="BE125" s="39"/>
      <c r="BF125" s="39"/>
      <c r="BG125" s="39"/>
      <c r="BH125" s="39"/>
      <c r="BI125" s="39"/>
      <c r="BJ125" s="39"/>
      <c r="BK125" s="39"/>
      <c r="BL125" s="39"/>
      <c r="BM125" s="39"/>
      <c r="BN125" s="39"/>
      <c r="BO125" s="39"/>
    </row>
    <row r="126" spans="1:67" s="6" customFormat="1" ht="15" customHeight="1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  <c r="BD126" s="39"/>
      <c r="BE126" s="39"/>
      <c r="BF126" s="39"/>
      <c r="BG126" s="39"/>
      <c r="BH126" s="39"/>
      <c r="BI126" s="39"/>
      <c r="BJ126" s="39"/>
      <c r="BK126" s="39"/>
      <c r="BL126" s="39"/>
      <c r="BM126" s="39"/>
      <c r="BN126" s="39"/>
      <c r="BO126" s="39"/>
    </row>
    <row r="127" spans="1:67" s="6" customFormat="1" ht="15" customHeight="1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  <c r="BD127" s="39"/>
      <c r="BE127" s="39"/>
      <c r="BF127" s="39"/>
      <c r="BG127" s="39"/>
      <c r="BH127" s="39"/>
      <c r="BI127" s="39"/>
      <c r="BJ127" s="39"/>
      <c r="BK127" s="39"/>
      <c r="BL127" s="39"/>
      <c r="BM127" s="39"/>
      <c r="BN127" s="39"/>
      <c r="BO127" s="39"/>
    </row>
    <row r="128" spans="1:67" s="6" customFormat="1" ht="15" customHeight="1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  <c r="BD128" s="39"/>
      <c r="BE128" s="39"/>
      <c r="BF128" s="39"/>
      <c r="BG128" s="39"/>
      <c r="BH128" s="39"/>
      <c r="BI128" s="39"/>
      <c r="BJ128" s="39"/>
      <c r="BK128" s="39"/>
      <c r="BL128" s="39"/>
      <c r="BM128" s="39"/>
      <c r="BN128" s="39"/>
      <c r="BO128" s="39"/>
    </row>
    <row r="129" spans="1:67" s="6" customFormat="1" ht="15" customHeight="1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  <c r="BD129" s="39"/>
      <c r="BE129" s="39"/>
      <c r="BF129" s="39"/>
      <c r="BG129" s="39"/>
      <c r="BH129" s="39"/>
      <c r="BI129" s="39"/>
      <c r="BJ129" s="39"/>
      <c r="BK129" s="39"/>
      <c r="BL129" s="39"/>
      <c r="BM129" s="39"/>
      <c r="BN129" s="39"/>
      <c r="BO129" s="39"/>
    </row>
    <row r="130" spans="1:67" s="6" customFormat="1" ht="15" customHeight="1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  <c r="BD130" s="39"/>
      <c r="BE130" s="39"/>
      <c r="BF130" s="39"/>
      <c r="BG130" s="39"/>
      <c r="BH130" s="39"/>
      <c r="BI130" s="39"/>
      <c r="BJ130" s="39"/>
      <c r="BK130" s="39"/>
      <c r="BL130" s="39"/>
      <c r="BM130" s="39"/>
      <c r="BN130" s="39"/>
      <c r="BO130" s="39"/>
    </row>
    <row r="131" spans="1:67" s="6" customFormat="1" ht="15" customHeight="1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  <c r="BD131" s="39"/>
      <c r="BE131" s="39"/>
      <c r="BF131" s="39"/>
      <c r="BG131" s="39"/>
      <c r="BH131" s="39"/>
      <c r="BI131" s="39"/>
      <c r="BJ131" s="39"/>
      <c r="BK131" s="39"/>
      <c r="BL131" s="39"/>
      <c r="BM131" s="39"/>
      <c r="BN131" s="39"/>
      <c r="BO131" s="39"/>
    </row>
    <row r="132" spans="1:67" s="6" customFormat="1" ht="15" customHeight="1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39"/>
      <c r="BB132" s="39"/>
      <c r="BC132" s="39"/>
      <c r="BD132" s="39"/>
      <c r="BE132" s="39"/>
      <c r="BF132" s="39"/>
      <c r="BG132" s="39"/>
      <c r="BH132" s="39"/>
      <c r="BI132" s="39"/>
      <c r="BJ132" s="39"/>
      <c r="BK132" s="39"/>
      <c r="BL132" s="39"/>
      <c r="BM132" s="39"/>
      <c r="BN132" s="39"/>
      <c r="BO132" s="39"/>
    </row>
    <row r="133" spans="1:67" s="6" customFormat="1" ht="15" customHeight="1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39"/>
      <c r="BB133" s="39"/>
      <c r="BC133" s="39"/>
      <c r="BD133" s="39"/>
      <c r="BE133" s="39"/>
      <c r="BF133" s="39"/>
      <c r="BG133" s="39"/>
      <c r="BH133" s="39"/>
      <c r="BI133" s="39"/>
      <c r="BJ133" s="39"/>
      <c r="BK133" s="39"/>
      <c r="BL133" s="39"/>
      <c r="BM133" s="39"/>
      <c r="BN133" s="39"/>
      <c r="BO133" s="39"/>
    </row>
    <row r="134" spans="1:67" s="6" customFormat="1" ht="15" customHeight="1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39"/>
      <c r="BB134" s="39"/>
      <c r="BC134" s="39"/>
      <c r="BD134" s="39"/>
      <c r="BE134" s="39"/>
      <c r="BF134" s="39"/>
      <c r="BG134" s="39"/>
      <c r="BH134" s="39"/>
      <c r="BI134" s="39"/>
      <c r="BJ134" s="39"/>
      <c r="BK134" s="39"/>
      <c r="BL134" s="39"/>
      <c r="BM134" s="39"/>
      <c r="BN134" s="39"/>
      <c r="BO134" s="39"/>
    </row>
    <row r="135" spans="1:67" s="6" customFormat="1" ht="15" customHeight="1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  <c r="BD135" s="39"/>
      <c r="BE135" s="39"/>
      <c r="BF135" s="39"/>
      <c r="BG135" s="39"/>
      <c r="BH135" s="39"/>
      <c r="BI135" s="39"/>
      <c r="BJ135" s="39"/>
      <c r="BK135" s="39"/>
      <c r="BL135" s="39"/>
      <c r="BM135" s="39"/>
      <c r="BN135" s="39"/>
      <c r="BO135" s="39"/>
    </row>
    <row r="136" spans="1:67" s="6" customFormat="1" ht="15" customHeight="1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39"/>
      <c r="BB136" s="39"/>
      <c r="BC136" s="39"/>
      <c r="BD136" s="39"/>
      <c r="BE136" s="39"/>
      <c r="BF136" s="39"/>
      <c r="BG136" s="39"/>
      <c r="BH136" s="39"/>
      <c r="BI136" s="39"/>
      <c r="BJ136" s="39"/>
      <c r="BK136" s="39"/>
      <c r="BL136" s="39"/>
      <c r="BM136" s="39"/>
      <c r="BN136" s="39"/>
      <c r="BO136" s="39"/>
    </row>
    <row r="137" spans="1:67" s="6" customFormat="1" ht="15" customHeight="1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  <c r="BD137" s="39"/>
      <c r="BE137" s="39"/>
      <c r="BF137" s="39"/>
      <c r="BG137" s="39"/>
      <c r="BH137" s="39"/>
      <c r="BI137" s="39"/>
      <c r="BJ137" s="39"/>
      <c r="BK137" s="39"/>
      <c r="BL137" s="39"/>
      <c r="BM137" s="39"/>
      <c r="BN137" s="39"/>
      <c r="BO137" s="39"/>
    </row>
    <row r="138" spans="1:67" s="6" customFormat="1" ht="15" customHeight="1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39"/>
      <c r="BB138" s="39"/>
      <c r="BC138" s="39"/>
      <c r="BD138" s="39"/>
      <c r="BE138" s="39"/>
      <c r="BF138" s="39"/>
      <c r="BG138" s="39"/>
      <c r="BH138" s="39"/>
      <c r="BI138" s="39"/>
      <c r="BJ138" s="39"/>
      <c r="BK138" s="39"/>
      <c r="BL138" s="39"/>
      <c r="BM138" s="39"/>
      <c r="BN138" s="39"/>
      <c r="BO138" s="39"/>
    </row>
    <row r="139" spans="1:67" s="6" customFormat="1" ht="15" customHeight="1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39"/>
      <c r="BB139" s="39"/>
      <c r="BC139" s="39"/>
      <c r="BD139" s="39"/>
      <c r="BE139" s="39"/>
      <c r="BF139" s="39"/>
      <c r="BG139" s="39"/>
      <c r="BH139" s="39"/>
      <c r="BI139" s="39"/>
      <c r="BJ139" s="39"/>
      <c r="BK139" s="39"/>
      <c r="BL139" s="39"/>
      <c r="BM139" s="39"/>
      <c r="BN139" s="39"/>
      <c r="BO139" s="39"/>
    </row>
    <row r="140" spans="1:67" s="6" customFormat="1" ht="15" customHeight="1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  <c r="BD140" s="39"/>
      <c r="BE140" s="39"/>
      <c r="BF140" s="39"/>
      <c r="BG140" s="39"/>
      <c r="BH140" s="39"/>
      <c r="BI140" s="39"/>
      <c r="BJ140" s="39"/>
      <c r="BK140" s="39"/>
      <c r="BL140" s="39"/>
      <c r="BM140" s="39"/>
      <c r="BN140" s="39"/>
      <c r="BO140" s="39"/>
    </row>
    <row r="141" spans="1:67" s="6" customFormat="1" ht="15" customHeight="1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  <c r="BD141" s="39"/>
      <c r="BE141" s="39"/>
      <c r="BF141" s="39"/>
      <c r="BG141" s="39"/>
      <c r="BH141" s="39"/>
      <c r="BI141" s="39"/>
      <c r="BJ141" s="39"/>
      <c r="BK141" s="39"/>
      <c r="BL141" s="39"/>
      <c r="BM141" s="39"/>
      <c r="BN141" s="39"/>
      <c r="BO141" s="39"/>
    </row>
    <row r="142" spans="1:67" s="6" customFormat="1" ht="15" customHeight="1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  <c r="BD142" s="39"/>
      <c r="BE142" s="39"/>
      <c r="BF142" s="39"/>
      <c r="BG142" s="39"/>
      <c r="BH142" s="39"/>
      <c r="BI142" s="39"/>
      <c r="BJ142" s="39"/>
      <c r="BK142" s="39"/>
      <c r="BL142" s="39"/>
      <c r="BM142" s="39"/>
      <c r="BN142" s="39"/>
      <c r="BO142" s="39"/>
    </row>
    <row r="143" spans="1:67" s="6" customFormat="1" ht="15" customHeight="1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  <c r="BD143" s="39"/>
      <c r="BE143" s="39"/>
      <c r="BF143" s="39"/>
      <c r="BG143" s="39"/>
      <c r="BH143" s="39"/>
      <c r="BI143" s="39"/>
      <c r="BJ143" s="39"/>
      <c r="BK143" s="39"/>
      <c r="BL143" s="39"/>
      <c r="BM143" s="39"/>
      <c r="BN143" s="39"/>
      <c r="BO143" s="39"/>
    </row>
    <row r="144" spans="1:67" s="6" customFormat="1" ht="15" customHeight="1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39"/>
      <c r="BB144" s="39"/>
      <c r="BC144" s="39"/>
      <c r="BD144" s="39"/>
      <c r="BE144" s="39"/>
      <c r="BF144" s="39"/>
      <c r="BG144" s="39"/>
      <c r="BH144" s="39"/>
      <c r="BI144" s="39"/>
      <c r="BJ144" s="39"/>
      <c r="BK144" s="39"/>
      <c r="BL144" s="39"/>
      <c r="BM144" s="39"/>
      <c r="BN144" s="39"/>
      <c r="BO144" s="39"/>
    </row>
    <row r="145" spans="1:67" s="6" customFormat="1" ht="15" customHeight="1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  <c r="BD145" s="39"/>
      <c r="BE145" s="39"/>
      <c r="BF145" s="39"/>
      <c r="BG145" s="39"/>
      <c r="BH145" s="39"/>
      <c r="BI145" s="39"/>
      <c r="BJ145" s="39"/>
      <c r="BK145" s="39"/>
      <c r="BL145" s="39"/>
      <c r="BM145" s="39"/>
      <c r="BN145" s="39"/>
      <c r="BO145" s="39"/>
    </row>
    <row r="146" spans="1:67" s="6" customFormat="1" ht="15" customHeight="1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  <c r="BD146" s="39"/>
      <c r="BE146" s="39"/>
      <c r="BF146" s="39"/>
      <c r="BG146" s="39"/>
      <c r="BH146" s="39"/>
      <c r="BI146" s="39"/>
      <c r="BJ146" s="39"/>
      <c r="BK146" s="39"/>
      <c r="BL146" s="39"/>
      <c r="BM146" s="39"/>
      <c r="BN146" s="39"/>
      <c r="BO146" s="39"/>
    </row>
    <row r="147" spans="1:67" s="6" customFormat="1" ht="15" customHeight="1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39"/>
      <c r="BB147" s="39"/>
      <c r="BC147" s="39"/>
      <c r="BD147" s="39"/>
      <c r="BE147" s="39"/>
      <c r="BF147" s="39"/>
      <c r="BG147" s="39"/>
      <c r="BH147" s="39"/>
      <c r="BI147" s="39"/>
      <c r="BJ147" s="39"/>
      <c r="BK147" s="39"/>
      <c r="BL147" s="39"/>
      <c r="BM147" s="39"/>
      <c r="BN147" s="39"/>
      <c r="BO147" s="39"/>
    </row>
    <row r="148" spans="1:67" s="6" customFormat="1" ht="15" customHeight="1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  <c r="BA148" s="39"/>
      <c r="BB148" s="39"/>
      <c r="BC148" s="39"/>
      <c r="BD148" s="39"/>
      <c r="BE148" s="39"/>
      <c r="BF148" s="39"/>
      <c r="BG148" s="39"/>
      <c r="BH148" s="39"/>
      <c r="BI148" s="39"/>
      <c r="BJ148" s="39"/>
      <c r="BK148" s="39"/>
      <c r="BL148" s="39"/>
      <c r="BM148" s="39"/>
      <c r="BN148" s="39"/>
      <c r="BO148" s="39"/>
    </row>
    <row r="149" spans="1:67" s="6" customFormat="1" ht="15" customHeight="1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  <c r="BD149" s="39"/>
      <c r="BE149" s="39"/>
      <c r="BF149" s="39"/>
      <c r="BG149" s="39"/>
      <c r="BH149" s="39"/>
      <c r="BI149" s="39"/>
      <c r="BJ149" s="39"/>
      <c r="BK149" s="39"/>
      <c r="BL149" s="39"/>
      <c r="BM149" s="39"/>
      <c r="BN149" s="39"/>
      <c r="BO149" s="39"/>
    </row>
    <row r="150" spans="1:67" s="6" customFormat="1" ht="15" customHeight="1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39"/>
      <c r="BB150" s="39"/>
      <c r="BC150" s="39"/>
      <c r="BD150" s="39"/>
      <c r="BE150" s="39"/>
      <c r="BF150" s="39"/>
      <c r="BG150" s="39"/>
      <c r="BH150" s="39"/>
      <c r="BI150" s="39"/>
      <c r="BJ150" s="39"/>
      <c r="BK150" s="39"/>
      <c r="BL150" s="39"/>
      <c r="BM150" s="39"/>
      <c r="BN150" s="39"/>
      <c r="BO150" s="39"/>
    </row>
    <row r="151" spans="1:67" s="6" customFormat="1" ht="15" customHeight="1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  <c r="BD151" s="39"/>
      <c r="BE151" s="39"/>
      <c r="BF151" s="39"/>
      <c r="BG151" s="39"/>
      <c r="BH151" s="39"/>
      <c r="BI151" s="39"/>
      <c r="BJ151" s="39"/>
      <c r="BK151" s="39"/>
      <c r="BL151" s="39"/>
      <c r="BM151" s="39"/>
      <c r="BN151" s="39"/>
      <c r="BO151" s="39"/>
    </row>
    <row r="152" spans="1:67" s="6" customFormat="1" ht="15" customHeight="1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39"/>
      <c r="BB152" s="39"/>
      <c r="BC152" s="39"/>
      <c r="BD152" s="39"/>
      <c r="BE152" s="39"/>
      <c r="BF152" s="39"/>
      <c r="BG152" s="39"/>
      <c r="BH152" s="39"/>
      <c r="BI152" s="39"/>
      <c r="BJ152" s="39"/>
      <c r="BK152" s="39"/>
      <c r="BL152" s="39"/>
      <c r="BM152" s="39"/>
      <c r="BN152" s="39"/>
      <c r="BO152" s="39"/>
    </row>
    <row r="153" spans="1:67" s="6" customFormat="1" ht="15" customHeight="1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  <c r="BA153" s="39"/>
      <c r="BB153" s="39"/>
      <c r="BC153" s="39"/>
      <c r="BD153" s="39"/>
      <c r="BE153" s="39"/>
      <c r="BF153" s="39"/>
      <c r="BG153" s="39"/>
      <c r="BH153" s="39"/>
      <c r="BI153" s="39"/>
      <c r="BJ153" s="39"/>
      <c r="BK153" s="39"/>
      <c r="BL153" s="39"/>
      <c r="BM153" s="39"/>
      <c r="BN153" s="39"/>
      <c r="BO153" s="39"/>
    </row>
    <row r="154" spans="1:67" s="6" customFormat="1" ht="15" customHeight="1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39"/>
      <c r="BB154" s="39"/>
      <c r="BC154" s="39"/>
      <c r="BD154" s="39"/>
      <c r="BE154" s="39"/>
      <c r="BF154" s="39"/>
      <c r="BG154" s="39"/>
      <c r="BH154" s="39"/>
      <c r="BI154" s="39"/>
      <c r="BJ154" s="39"/>
      <c r="BK154" s="39"/>
      <c r="BL154" s="39"/>
      <c r="BM154" s="39"/>
      <c r="BN154" s="39"/>
      <c r="BO154" s="39"/>
    </row>
    <row r="155" spans="1:67" s="6" customFormat="1" ht="15" customHeight="1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39"/>
      <c r="BB155" s="39"/>
      <c r="BC155" s="39"/>
      <c r="BD155" s="39"/>
      <c r="BE155" s="39"/>
      <c r="BF155" s="39"/>
      <c r="BG155" s="39"/>
      <c r="BH155" s="39"/>
      <c r="BI155" s="39"/>
      <c r="BJ155" s="39"/>
      <c r="BK155" s="39"/>
      <c r="BL155" s="39"/>
      <c r="BM155" s="39"/>
      <c r="BN155" s="39"/>
      <c r="BO155" s="39"/>
    </row>
    <row r="156" spans="1:67" s="6" customFormat="1" ht="15" customHeight="1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39"/>
      <c r="BB156" s="39"/>
      <c r="BC156" s="39"/>
      <c r="BD156" s="39"/>
      <c r="BE156" s="39"/>
      <c r="BF156" s="39"/>
      <c r="BG156" s="39"/>
      <c r="BH156" s="39"/>
      <c r="BI156" s="39"/>
      <c r="BJ156" s="39"/>
      <c r="BK156" s="39"/>
      <c r="BL156" s="39"/>
      <c r="BM156" s="39"/>
      <c r="BN156" s="39"/>
      <c r="BO156" s="39"/>
    </row>
    <row r="157" spans="1:67" s="6" customFormat="1" ht="15" customHeight="1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39"/>
      <c r="BB157" s="39"/>
      <c r="BC157" s="39"/>
      <c r="BD157" s="39"/>
      <c r="BE157" s="39"/>
      <c r="BF157" s="39"/>
      <c r="BG157" s="39"/>
      <c r="BH157" s="39"/>
      <c r="BI157" s="39"/>
      <c r="BJ157" s="39"/>
      <c r="BK157" s="39"/>
      <c r="BL157" s="39"/>
      <c r="BM157" s="39"/>
      <c r="BN157" s="39"/>
      <c r="BO157" s="39"/>
    </row>
    <row r="158" spans="1:67" s="6" customFormat="1" ht="15" customHeight="1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  <c r="BA158" s="39"/>
      <c r="BB158" s="39"/>
      <c r="BC158" s="39"/>
      <c r="BD158" s="39"/>
      <c r="BE158" s="39"/>
      <c r="BF158" s="39"/>
      <c r="BG158" s="39"/>
      <c r="BH158" s="39"/>
      <c r="BI158" s="39"/>
      <c r="BJ158" s="39"/>
      <c r="BK158" s="39"/>
      <c r="BL158" s="39"/>
      <c r="BM158" s="39"/>
      <c r="BN158" s="39"/>
      <c r="BO158" s="39"/>
    </row>
    <row r="159" spans="1:67" s="6" customFormat="1" ht="15" customHeight="1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39"/>
      <c r="BB159" s="39"/>
      <c r="BC159" s="39"/>
      <c r="BD159" s="39"/>
      <c r="BE159" s="39"/>
      <c r="BF159" s="39"/>
      <c r="BG159" s="39"/>
      <c r="BH159" s="39"/>
      <c r="BI159" s="39"/>
      <c r="BJ159" s="39"/>
      <c r="BK159" s="39"/>
      <c r="BL159" s="39"/>
      <c r="BM159" s="39"/>
      <c r="BN159" s="39"/>
      <c r="BO159" s="39"/>
    </row>
    <row r="160" spans="1:67" s="6" customFormat="1" ht="15" customHeight="1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  <c r="BD160" s="39"/>
      <c r="BE160" s="39"/>
      <c r="BF160" s="39"/>
      <c r="BG160" s="39"/>
      <c r="BH160" s="39"/>
      <c r="BI160" s="39"/>
      <c r="BJ160" s="39"/>
      <c r="BK160" s="39"/>
      <c r="BL160" s="39"/>
      <c r="BM160" s="39"/>
      <c r="BN160" s="39"/>
      <c r="BO160" s="39"/>
    </row>
    <row r="161" spans="1:67" s="6" customFormat="1" ht="15" customHeight="1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  <c r="BD161" s="39"/>
      <c r="BE161" s="39"/>
      <c r="BF161" s="39"/>
      <c r="BG161" s="39"/>
      <c r="BH161" s="39"/>
      <c r="BI161" s="39"/>
      <c r="BJ161" s="39"/>
      <c r="BK161" s="39"/>
      <c r="BL161" s="39"/>
      <c r="BM161" s="39"/>
      <c r="BN161" s="39"/>
      <c r="BO161" s="39"/>
    </row>
    <row r="162" spans="1:67" s="6" customFormat="1" ht="15" customHeight="1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  <c r="BD162" s="39"/>
      <c r="BE162" s="39"/>
      <c r="BF162" s="39"/>
      <c r="BG162" s="39"/>
      <c r="BH162" s="39"/>
      <c r="BI162" s="39"/>
      <c r="BJ162" s="39"/>
      <c r="BK162" s="39"/>
      <c r="BL162" s="39"/>
      <c r="BM162" s="39"/>
      <c r="BN162" s="39"/>
      <c r="BO162" s="39"/>
    </row>
    <row r="163" spans="1:67" s="6" customFormat="1" ht="15" customHeight="1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  <c r="BD163" s="39"/>
      <c r="BE163" s="39"/>
      <c r="BF163" s="39"/>
      <c r="BG163" s="39"/>
      <c r="BH163" s="39"/>
      <c r="BI163" s="39"/>
      <c r="BJ163" s="39"/>
      <c r="BK163" s="39"/>
      <c r="BL163" s="39"/>
      <c r="BM163" s="39"/>
      <c r="BN163" s="39"/>
      <c r="BO163" s="39"/>
    </row>
    <row r="164" spans="1:67" s="6" customFormat="1" ht="15" customHeight="1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  <c r="BD164" s="39"/>
      <c r="BE164" s="39"/>
      <c r="BF164" s="39"/>
      <c r="BG164" s="39"/>
      <c r="BH164" s="39"/>
      <c r="BI164" s="39"/>
      <c r="BJ164" s="39"/>
      <c r="BK164" s="39"/>
      <c r="BL164" s="39"/>
      <c r="BM164" s="39"/>
      <c r="BN164" s="39"/>
      <c r="BO164" s="39"/>
    </row>
    <row r="165" spans="1:67" s="6" customFormat="1" ht="15" customHeight="1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  <c r="BD165" s="39"/>
      <c r="BE165" s="39"/>
      <c r="BF165" s="39"/>
      <c r="BG165" s="39"/>
      <c r="BH165" s="39"/>
      <c r="BI165" s="39"/>
      <c r="BJ165" s="39"/>
      <c r="BK165" s="39"/>
      <c r="BL165" s="39"/>
      <c r="BM165" s="39"/>
      <c r="BN165" s="39"/>
      <c r="BO165" s="39"/>
    </row>
    <row r="166" spans="1:67" s="6" customFormat="1" ht="15" customHeight="1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  <c r="BD166" s="39"/>
      <c r="BE166" s="39"/>
      <c r="BF166" s="39"/>
      <c r="BG166" s="39"/>
      <c r="BH166" s="39"/>
      <c r="BI166" s="39"/>
      <c r="BJ166" s="39"/>
      <c r="BK166" s="39"/>
      <c r="BL166" s="39"/>
      <c r="BM166" s="39"/>
      <c r="BN166" s="39"/>
      <c r="BO166" s="39"/>
    </row>
    <row r="167" spans="1:67" s="6" customFormat="1" ht="15" customHeight="1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  <c r="BD167" s="39"/>
      <c r="BE167" s="39"/>
      <c r="BF167" s="39"/>
      <c r="BG167" s="39"/>
      <c r="BH167" s="39"/>
      <c r="BI167" s="39"/>
      <c r="BJ167" s="39"/>
      <c r="BK167" s="39"/>
      <c r="BL167" s="39"/>
      <c r="BM167" s="39"/>
      <c r="BN167" s="39"/>
      <c r="BO167" s="39"/>
    </row>
    <row r="168" spans="1:67" s="6" customFormat="1" ht="15" customHeight="1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  <c r="BE168" s="39"/>
      <c r="BF168" s="39"/>
      <c r="BG168" s="39"/>
      <c r="BH168" s="39"/>
      <c r="BI168" s="39"/>
      <c r="BJ168" s="39"/>
      <c r="BK168" s="39"/>
      <c r="BL168" s="39"/>
      <c r="BM168" s="39"/>
      <c r="BN168" s="39"/>
      <c r="BO168" s="39"/>
    </row>
    <row r="169" spans="1:67" s="6" customFormat="1" ht="15" customHeight="1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  <c r="BD169" s="39"/>
      <c r="BE169" s="39"/>
      <c r="BF169" s="39"/>
      <c r="BG169" s="39"/>
      <c r="BH169" s="39"/>
      <c r="BI169" s="39"/>
      <c r="BJ169" s="39"/>
      <c r="BK169" s="39"/>
      <c r="BL169" s="39"/>
      <c r="BM169" s="39"/>
      <c r="BN169" s="39"/>
      <c r="BO169" s="39"/>
    </row>
    <row r="170" spans="1:67" s="6" customFormat="1" ht="15" customHeight="1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  <c r="BD170" s="39"/>
      <c r="BE170" s="39"/>
      <c r="BF170" s="39"/>
      <c r="BG170" s="39"/>
      <c r="BH170" s="39"/>
      <c r="BI170" s="39"/>
      <c r="BJ170" s="39"/>
      <c r="BK170" s="39"/>
      <c r="BL170" s="39"/>
      <c r="BM170" s="39"/>
      <c r="BN170" s="39"/>
      <c r="BO170" s="39"/>
    </row>
    <row r="171" spans="1:67" s="6" customFormat="1" ht="15" customHeight="1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  <c r="BD171" s="39"/>
      <c r="BE171" s="39"/>
      <c r="BF171" s="39"/>
      <c r="BG171" s="39"/>
      <c r="BH171" s="39"/>
      <c r="BI171" s="39"/>
      <c r="BJ171" s="39"/>
      <c r="BK171" s="39"/>
      <c r="BL171" s="39"/>
      <c r="BM171" s="39"/>
      <c r="BN171" s="39"/>
      <c r="BO171" s="39"/>
    </row>
    <row r="172" spans="1:67" s="6" customFormat="1" ht="15" customHeight="1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  <c r="BD172" s="39"/>
      <c r="BE172" s="39"/>
      <c r="BF172" s="39"/>
      <c r="BG172" s="39"/>
      <c r="BH172" s="39"/>
      <c r="BI172" s="39"/>
      <c r="BJ172" s="39"/>
      <c r="BK172" s="39"/>
      <c r="BL172" s="39"/>
      <c r="BM172" s="39"/>
      <c r="BN172" s="39"/>
      <c r="BO172" s="39"/>
    </row>
    <row r="173" spans="1:67" s="6" customFormat="1" ht="15" customHeight="1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  <c r="BD173" s="39"/>
      <c r="BE173" s="39"/>
      <c r="BF173" s="39"/>
      <c r="BG173" s="39"/>
      <c r="BH173" s="39"/>
      <c r="BI173" s="39"/>
      <c r="BJ173" s="39"/>
      <c r="BK173" s="39"/>
      <c r="BL173" s="39"/>
      <c r="BM173" s="39"/>
      <c r="BN173" s="39"/>
      <c r="BO173" s="39"/>
    </row>
    <row r="174" spans="1:67" s="6" customFormat="1" ht="15" customHeight="1">
      <c r="A174" s="40"/>
    </row>
    <row r="175" spans="1:67" s="6" customFormat="1" ht="15" customHeight="1">
      <c r="A175" s="40"/>
    </row>
    <row r="176" spans="1:67" s="6" customFormat="1" ht="15" customHeight="1">
      <c r="A176" s="40"/>
    </row>
    <row r="177" spans="1:1" s="6" customFormat="1" ht="15" customHeight="1">
      <c r="A177" s="40"/>
    </row>
    <row r="178" spans="1:1" s="6" customFormat="1" ht="15" customHeight="1">
      <c r="A178" s="40"/>
    </row>
    <row r="179" spans="1:1" s="6" customFormat="1" ht="15" customHeight="1">
      <c r="A179" s="40"/>
    </row>
    <row r="180" spans="1:1" s="6" customFormat="1" ht="15" customHeight="1">
      <c r="A180" s="40"/>
    </row>
    <row r="181" spans="1:1" s="6" customFormat="1" ht="15" customHeight="1">
      <c r="A181" s="40"/>
    </row>
    <row r="182" spans="1:1" s="6" customFormat="1" ht="15" customHeight="1">
      <c r="A182" s="40"/>
    </row>
    <row r="183" spans="1:1" s="6" customFormat="1" ht="15" customHeight="1">
      <c r="A183" s="40"/>
    </row>
    <row r="184" spans="1:1" s="6" customFormat="1" ht="15" customHeight="1">
      <c r="A184" s="40"/>
    </row>
    <row r="185" spans="1:1" s="6" customFormat="1" ht="15" customHeight="1">
      <c r="A185" s="40"/>
    </row>
    <row r="186" spans="1:1" s="6" customFormat="1" ht="15" customHeight="1">
      <c r="A186" s="40"/>
    </row>
    <row r="187" spans="1:1" s="6" customFormat="1" ht="15" customHeight="1">
      <c r="A187" s="40"/>
    </row>
    <row r="188" spans="1:1" s="6" customFormat="1" ht="15" customHeight="1">
      <c r="A188" s="40"/>
    </row>
    <row r="189" spans="1:1" s="6" customFormat="1" ht="15" customHeight="1">
      <c r="A189" s="40"/>
    </row>
    <row r="190" spans="1:1" s="6" customFormat="1" ht="15" customHeight="1">
      <c r="A190" s="40"/>
    </row>
    <row r="191" spans="1:1" s="6" customFormat="1" ht="15" customHeight="1">
      <c r="A191" s="40"/>
    </row>
    <row r="192" spans="1:1" s="6" customFormat="1" ht="15" customHeight="1">
      <c r="A192" s="40"/>
    </row>
    <row r="193" spans="1:1" s="6" customFormat="1" ht="15" customHeight="1">
      <c r="A193" s="40"/>
    </row>
    <row r="194" spans="1:1" s="6" customFormat="1" ht="15" customHeight="1">
      <c r="A194" s="40"/>
    </row>
    <row r="195" spans="1:1" s="6" customFormat="1" ht="15" customHeight="1">
      <c r="A195" s="40"/>
    </row>
    <row r="196" spans="1:1" s="6" customFormat="1" ht="15" customHeight="1">
      <c r="A196" s="40"/>
    </row>
    <row r="197" spans="1:1" s="6" customFormat="1" ht="15" customHeight="1">
      <c r="A197" s="40"/>
    </row>
    <row r="198" spans="1:1" s="6" customFormat="1" ht="15" customHeight="1">
      <c r="A198" s="40"/>
    </row>
    <row r="199" spans="1:1" s="6" customFormat="1" ht="15" customHeight="1">
      <c r="A199" s="40"/>
    </row>
    <row r="200" spans="1:1" s="6" customFormat="1" ht="15" customHeight="1">
      <c r="A200" s="40"/>
    </row>
    <row r="201" spans="1:1" s="6" customFormat="1" ht="15" customHeight="1">
      <c r="A201" s="40"/>
    </row>
    <row r="202" spans="1:1" s="6" customFormat="1" ht="15" customHeight="1">
      <c r="A202" s="40"/>
    </row>
    <row r="203" spans="1:1" s="6" customFormat="1" ht="15" customHeight="1">
      <c r="A203" s="40"/>
    </row>
    <row r="204" spans="1:1" s="6" customFormat="1" ht="15" customHeight="1">
      <c r="A204" s="40"/>
    </row>
    <row r="205" spans="1:1" s="6" customFormat="1" ht="15" customHeight="1">
      <c r="A205" s="40"/>
    </row>
    <row r="206" spans="1:1" s="6" customFormat="1" ht="15" customHeight="1">
      <c r="A206" s="40"/>
    </row>
    <row r="207" spans="1:1" s="6" customFormat="1" ht="15" customHeight="1">
      <c r="A207" s="40"/>
    </row>
    <row r="208" spans="1:1" s="6" customFormat="1" ht="15" customHeight="1">
      <c r="A208" s="40"/>
    </row>
    <row r="209" spans="1:1" s="6" customFormat="1" ht="15" customHeight="1">
      <c r="A209" s="40"/>
    </row>
    <row r="210" spans="1:1" s="6" customFormat="1" ht="15" customHeight="1">
      <c r="A210" s="40"/>
    </row>
    <row r="211" spans="1:1" s="6" customFormat="1" ht="15" customHeight="1">
      <c r="A211" s="40"/>
    </row>
    <row r="212" spans="1:1" s="6" customFormat="1" ht="15" customHeight="1">
      <c r="A212" s="40"/>
    </row>
    <row r="213" spans="1:1" s="6" customFormat="1" ht="15" customHeight="1">
      <c r="A213" s="40"/>
    </row>
    <row r="214" spans="1:1" s="6" customFormat="1" ht="15" customHeight="1">
      <c r="A214" s="40"/>
    </row>
    <row r="215" spans="1:1" s="6" customFormat="1" ht="15" customHeight="1">
      <c r="A215" s="40"/>
    </row>
    <row r="216" spans="1:1" s="6" customFormat="1" ht="15" customHeight="1">
      <c r="A216" s="40"/>
    </row>
    <row r="217" spans="1:1" s="6" customFormat="1" ht="15" customHeight="1">
      <c r="A217" s="40"/>
    </row>
    <row r="218" spans="1:1" s="6" customFormat="1" ht="15" customHeight="1">
      <c r="A218" s="40"/>
    </row>
    <row r="219" spans="1:1" s="6" customFormat="1" ht="15" customHeight="1">
      <c r="A219" s="40"/>
    </row>
    <row r="220" spans="1:1" s="6" customFormat="1" ht="15" customHeight="1">
      <c r="A220" s="40"/>
    </row>
    <row r="221" spans="1:1" s="6" customFormat="1" ht="15" customHeight="1">
      <c r="A221" s="40"/>
    </row>
    <row r="222" spans="1:1" s="6" customFormat="1" ht="15" customHeight="1">
      <c r="A222" s="40"/>
    </row>
    <row r="223" spans="1:1" s="6" customFormat="1" ht="15" customHeight="1">
      <c r="A223" s="40"/>
    </row>
    <row r="224" spans="1:1" s="6" customFormat="1" ht="15" customHeight="1">
      <c r="A224" s="40"/>
    </row>
    <row r="225" spans="1:1" s="6" customFormat="1" ht="15" customHeight="1">
      <c r="A225" s="40"/>
    </row>
    <row r="226" spans="1:1" s="6" customFormat="1" ht="15" customHeight="1">
      <c r="A226" s="40"/>
    </row>
    <row r="227" spans="1:1" s="6" customFormat="1" ht="15" customHeight="1">
      <c r="A227" s="40"/>
    </row>
    <row r="228" spans="1:1" s="6" customFormat="1" ht="15" customHeight="1">
      <c r="A228" s="40"/>
    </row>
    <row r="229" spans="1:1" s="6" customFormat="1" ht="15" customHeight="1">
      <c r="A229" s="40"/>
    </row>
    <row r="230" spans="1:1" s="6" customFormat="1" ht="15" customHeight="1">
      <c r="A230" s="40"/>
    </row>
    <row r="231" spans="1:1" s="6" customFormat="1" ht="15" customHeight="1">
      <c r="A231" s="40"/>
    </row>
    <row r="232" spans="1:1" s="6" customFormat="1" ht="15" customHeight="1">
      <c r="A232" s="40"/>
    </row>
    <row r="233" spans="1:1" s="6" customFormat="1" ht="15" customHeight="1">
      <c r="A233" s="40"/>
    </row>
    <row r="234" spans="1:1" s="6" customFormat="1" ht="15" customHeight="1">
      <c r="A234" s="40"/>
    </row>
    <row r="235" spans="1:1" s="6" customFormat="1" ht="15" customHeight="1">
      <c r="A235" s="40"/>
    </row>
    <row r="236" spans="1:1" s="6" customFormat="1" ht="15" customHeight="1">
      <c r="A236" s="40"/>
    </row>
    <row r="237" spans="1:1" s="6" customFormat="1" ht="15" customHeight="1">
      <c r="A237" s="40"/>
    </row>
    <row r="238" spans="1:1" s="6" customFormat="1" ht="15" customHeight="1">
      <c r="A238" s="40"/>
    </row>
    <row r="239" spans="1:1" s="6" customFormat="1" ht="15" customHeight="1">
      <c r="A239" s="40"/>
    </row>
    <row r="240" spans="1:1" s="6" customFormat="1" ht="15" customHeight="1">
      <c r="A240" s="40"/>
    </row>
    <row r="241" spans="1:1" s="6" customFormat="1" ht="15" customHeight="1">
      <c r="A241" s="40"/>
    </row>
    <row r="242" spans="1:1" s="6" customFormat="1" ht="15" customHeight="1">
      <c r="A242" s="40"/>
    </row>
    <row r="243" spans="1:1" s="6" customFormat="1" ht="15" customHeight="1">
      <c r="A243" s="40"/>
    </row>
    <row r="244" spans="1:1" s="6" customFormat="1" ht="15" customHeight="1">
      <c r="A244" s="40"/>
    </row>
    <row r="245" spans="1:1" s="6" customFormat="1" ht="15" customHeight="1">
      <c r="A245" s="40"/>
    </row>
    <row r="246" spans="1:1" s="6" customFormat="1" ht="15" customHeight="1">
      <c r="A246" s="40"/>
    </row>
    <row r="247" spans="1:1" s="6" customFormat="1" ht="15" customHeight="1">
      <c r="A247" s="40"/>
    </row>
    <row r="248" spans="1:1" s="6" customFormat="1" ht="15" customHeight="1">
      <c r="A248" s="40"/>
    </row>
    <row r="249" spans="1:1" s="6" customFormat="1" ht="15" customHeight="1">
      <c r="A249" s="40"/>
    </row>
    <row r="250" spans="1:1" s="6" customFormat="1" ht="15" customHeight="1">
      <c r="A250" s="40"/>
    </row>
    <row r="251" spans="1:1" s="6" customFormat="1" ht="15" customHeight="1">
      <c r="A251" s="40"/>
    </row>
    <row r="252" spans="1:1" s="6" customFormat="1" ht="15" customHeight="1">
      <c r="A252" s="40"/>
    </row>
    <row r="253" spans="1:1" s="6" customFormat="1" ht="15" customHeight="1">
      <c r="A253" s="40"/>
    </row>
    <row r="254" spans="1:1" s="6" customFormat="1" ht="15" customHeight="1">
      <c r="A254" s="40"/>
    </row>
    <row r="255" spans="1:1" s="6" customFormat="1" ht="15" customHeight="1">
      <c r="A255" s="40"/>
    </row>
    <row r="256" spans="1:1" s="6" customFormat="1" ht="15" customHeight="1">
      <c r="A256" s="40"/>
    </row>
    <row r="257" spans="1:1" s="6" customFormat="1" ht="15" customHeight="1">
      <c r="A257" s="40"/>
    </row>
    <row r="258" spans="1:1" s="6" customFormat="1" ht="15" customHeight="1">
      <c r="A258" s="40"/>
    </row>
    <row r="259" spans="1:1" s="6" customFormat="1" ht="14.1" customHeight="1">
      <c r="A259" s="40"/>
    </row>
    <row r="260" spans="1:1" s="6" customFormat="1" ht="14.1" customHeight="1">
      <c r="A260" s="40"/>
    </row>
    <row r="261" spans="1:1" s="6" customFormat="1" ht="14.1" customHeight="1">
      <c r="A261" s="40"/>
    </row>
    <row r="262" spans="1:1" s="6" customFormat="1" ht="14.1" customHeight="1">
      <c r="A262" s="40"/>
    </row>
    <row r="263" spans="1:1" s="6" customFormat="1" ht="14.1" customHeight="1">
      <c r="A263" s="40"/>
    </row>
    <row r="264" spans="1:1" s="6" customFormat="1" ht="14.1" customHeight="1">
      <c r="A264" s="40"/>
    </row>
    <row r="265" spans="1:1" s="6" customFormat="1" ht="14.1" customHeight="1">
      <c r="A265" s="40"/>
    </row>
    <row r="266" spans="1:1" s="6" customFormat="1" ht="14.1" customHeight="1">
      <c r="A266" s="40"/>
    </row>
    <row r="267" spans="1:1" s="6" customFormat="1" ht="14.1" customHeight="1">
      <c r="A267" s="40"/>
    </row>
    <row r="268" spans="1:1" s="6" customFormat="1" ht="14.1" customHeight="1">
      <c r="A268" s="40"/>
    </row>
    <row r="269" spans="1:1" s="6" customFormat="1" ht="14.1" customHeight="1">
      <c r="A269" s="40"/>
    </row>
    <row r="270" spans="1:1" s="6" customFormat="1" ht="14.1" customHeight="1">
      <c r="A270" s="40"/>
    </row>
    <row r="271" spans="1:1" s="6" customFormat="1" ht="14.1" customHeight="1">
      <c r="A271" s="40"/>
    </row>
    <row r="272" spans="1:1" s="6" customFormat="1" ht="14.1" customHeight="1">
      <c r="A272" s="40"/>
    </row>
    <row r="273" spans="1:1" s="6" customFormat="1" ht="14.1" customHeight="1">
      <c r="A273" s="40"/>
    </row>
    <row r="274" spans="1:1" s="6" customFormat="1" ht="14.1" customHeight="1">
      <c r="A274" s="40"/>
    </row>
    <row r="275" spans="1:1" s="6" customFormat="1" ht="14.1" customHeight="1">
      <c r="A275" s="40"/>
    </row>
    <row r="276" spans="1:1" s="6" customFormat="1" ht="14.1" customHeight="1">
      <c r="A276" s="40"/>
    </row>
    <row r="277" spans="1:1" s="6" customFormat="1" ht="14.1" customHeight="1">
      <c r="A277" s="40"/>
    </row>
    <row r="278" spans="1:1" s="6" customFormat="1" ht="14.1" customHeight="1">
      <c r="A278" s="40"/>
    </row>
    <row r="279" spans="1:1" s="6" customFormat="1" ht="14.1" customHeight="1">
      <c r="A279" s="40"/>
    </row>
    <row r="280" spans="1:1" s="6" customFormat="1" ht="14.1" customHeight="1">
      <c r="A280" s="40"/>
    </row>
    <row r="281" spans="1:1" s="6" customFormat="1" ht="14.1" customHeight="1">
      <c r="A281" s="40"/>
    </row>
    <row r="282" spans="1:1" s="6" customFormat="1" ht="14.1" customHeight="1">
      <c r="A282" s="40"/>
    </row>
    <row r="283" spans="1:1" s="6" customFormat="1" ht="14.1" customHeight="1">
      <c r="A283" s="40"/>
    </row>
    <row r="284" spans="1:1" s="6" customFormat="1" ht="14.1" customHeight="1">
      <c r="A284" s="40"/>
    </row>
    <row r="285" spans="1:1" s="6" customFormat="1" ht="14.1" customHeight="1">
      <c r="A285" s="40"/>
    </row>
    <row r="286" spans="1:1" s="6" customFormat="1" ht="14.1" customHeight="1">
      <c r="A286" s="40"/>
    </row>
    <row r="287" spans="1:1" s="6" customFormat="1" ht="14.1" customHeight="1">
      <c r="A287" s="40"/>
    </row>
    <row r="288" spans="1:1" s="6" customFormat="1" ht="14.1" customHeight="1">
      <c r="A288" s="40"/>
    </row>
    <row r="289" spans="1:1" s="6" customFormat="1" ht="14.1" customHeight="1">
      <c r="A289" s="40"/>
    </row>
    <row r="290" spans="1:1" s="6" customFormat="1" ht="14.1" customHeight="1">
      <c r="A290" s="40"/>
    </row>
    <row r="291" spans="1:1" s="6" customFormat="1" ht="14.1" customHeight="1">
      <c r="A291" s="40"/>
    </row>
    <row r="292" spans="1:1" s="6" customFormat="1" ht="14.1" customHeight="1">
      <c r="A292" s="40"/>
    </row>
    <row r="293" spans="1:1" s="6" customFormat="1" ht="14.1" customHeight="1">
      <c r="A293" s="40"/>
    </row>
    <row r="294" spans="1:1" s="6" customFormat="1" ht="14.1" customHeight="1">
      <c r="A294" s="40"/>
    </row>
    <row r="295" spans="1:1" s="6" customFormat="1" ht="14.1" customHeight="1">
      <c r="A295" s="40"/>
    </row>
    <row r="296" spans="1:1" s="6" customFormat="1">
      <c r="A296" s="40"/>
    </row>
    <row r="297" spans="1:1" s="6" customFormat="1">
      <c r="A297" s="40"/>
    </row>
    <row r="298" spans="1:1" s="6" customFormat="1">
      <c r="A298" s="40"/>
    </row>
    <row r="299" spans="1:1" s="6" customFormat="1">
      <c r="A299" s="40"/>
    </row>
    <row r="300" spans="1:1" s="6" customFormat="1">
      <c r="A300" s="40"/>
    </row>
    <row r="301" spans="1:1" s="6" customFormat="1">
      <c r="A301" s="40"/>
    </row>
    <row r="302" spans="1:1" s="6" customFormat="1">
      <c r="A302" s="40"/>
    </row>
  </sheetData>
  <sheetProtection formatCells="0" formatRows="0" insertRows="0" selectLockedCells="1"/>
  <mergeCells count="318"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M1"/>
  <sheetViews>
    <sheetView workbookViewId="0">
      <pane ySplit="1" topLeftCell="A2" activePane="bottomLeft" state="frozen"/>
      <selection pane="bottomLeft" activeCell="M15" sqref="M15"/>
    </sheetView>
  </sheetViews>
  <sheetFormatPr defaultRowHeight="15"/>
  <cols>
    <col min="1" max="1" width="4.140625" bestFit="1" customWidth="1"/>
    <col min="2" max="2" width="34" bestFit="1" customWidth="1"/>
    <col min="3" max="3" width="6.7109375" bestFit="1" customWidth="1"/>
    <col min="4" max="4" width="13.7109375" bestFit="1" customWidth="1"/>
    <col min="5" max="5" width="8.7109375" bestFit="1" customWidth="1"/>
    <col min="6" max="10" width="7.5703125" bestFit="1" customWidth="1"/>
    <col min="11" max="11" width="6.28515625" bestFit="1" customWidth="1"/>
    <col min="12" max="12" width="5.140625" bestFit="1" customWidth="1"/>
    <col min="13" max="13" width="7" bestFit="1" customWidth="1"/>
    <col min="14" max="14" width="7.5703125" style="4" bestFit="1" customWidth="1"/>
    <col min="15" max="15" width="8.140625" style="5" bestFit="1" customWidth="1"/>
    <col min="16" max="18" width="8" style="5" customWidth="1"/>
    <col min="19" max="19" width="7.5703125" bestFit="1" customWidth="1"/>
    <col min="20" max="20" width="6.28515625" bestFit="1" customWidth="1"/>
    <col min="21" max="21" width="5.140625" bestFit="1" customWidth="1"/>
    <col min="22" max="22" width="5.85546875" bestFit="1" customWidth="1"/>
    <col min="23" max="23" width="6.28515625" bestFit="1" customWidth="1"/>
    <col min="24" max="24" width="7.5703125" bestFit="1" customWidth="1"/>
    <col min="25" max="25" width="5.28515625" bestFit="1" customWidth="1"/>
    <col min="26" max="26" width="6" bestFit="1" customWidth="1"/>
    <col min="27" max="27" width="7" bestFit="1" customWidth="1"/>
    <col min="28" max="28" width="9.42578125" bestFit="1" customWidth="1"/>
    <col min="29" max="30" width="6" bestFit="1" customWidth="1"/>
    <col min="31" max="32" width="7" bestFit="1" customWidth="1"/>
    <col min="33" max="33" width="12.7109375" bestFit="1" customWidth="1"/>
    <col min="34" max="34" width="7" bestFit="1" customWidth="1"/>
    <col min="35" max="35" width="7.7109375" bestFit="1" customWidth="1"/>
    <col min="36" max="36" width="8.85546875" bestFit="1" customWidth="1"/>
    <col min="37" max="37" width="7" bestFit="1" customWidth="1"/>
    <col min="38" max="38" width="9.5703125" bestFit="1" customWidth="1"/>
    <col min="39" max="39" width="11.140625" bestFit="1" customWidth="1"/>
  </cols>
  <sheetData>
    <row r="1" spans="1:39" s="1" customForma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2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</sheetData>
  <pageMargins left="0.70866141732283472" right="0.70866141732283472" top="0.74803149606299213" bottom="0.74803149606299213" header="0.31496062992125984" footer="0.31496062992125984"/>
  <pageSetup paperSize="9" scale="89" orientation="portrait" verticalDpi="0" r:id="rId1"/>
  <colBreaks count="1" manualBreakCount="1">
    <brk id="9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FORM16</vt:lpstr>
      <vt:lpstr>Sheet1</vt:lpstr>
      <vt:lpstr>FORM16!Print_Area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hp1</dc:creator>
  <cp:lastModifiedBy>hp1</cp:lastModifiedBy>
  <dcterms:created xsi:type="dcterms:W3CDTF">2018-05-02T04:48:37Z</dcterms:created>
  <dcterms:modified xsi:type="dcterms:W3CDTF">2018-05-02T04:55:56Z</dcterms:modified>
</cp:coreProperties>
</file>