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FORM16" sheetId="2" r:id="rId1"/>
    <sheet name="Sheet1" sheetId="1" r:id="rId2"/>
  </sheets>
  <functionGroups/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AD89" i="2"/>
  <c r="R73"/>
  <c r="X73" s="1"/>
  <c r="R72"/>
  <c r="X72" s="1"/>
  <c r="AD69"/>
  <c r="AD61" s="1"/>
  <c r="X61"/>
  <c r="X45"/>
  <c r="X40"/>
  <c r="X35"/>
  <c r="L35"/>
  <c r="L34"/>
  <c r="X30"/>
  <c r="X36" s="1"/>
  <c r="AD41" s="1"/>
  <c r="AD46" s="1"/>
  <c r="AA21"/>
  <c r="S21"/>
  <c r="AD78"/>
  <c r="B90"/>
  <c r="AD79" l="1"/>
  <c r="AD80" s="1"/>
  <c r="AD82" s="1"/>
  <c r="AD84" s="1"/>
  <c r="AD73"/>
  <c r="AD75"/>
  <c r="AD77" s="1"/>
  <c r="AJ77" s="1"/>
</calcChain>
</file>

<file path=xl/sharedStrings.xml><?xml version="1.0" encoding="utf-8"?>
<sst xmlns="http://schemas.openxmlformats.org/spreadsheetml/2006/main" count="434" uniqueCount="367">
  <si>
    <t>ID</t>
  </si>
  <si>
    <t>NAME</t>
  </si>
  <si>
    <t>EMPID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</si>
  <si>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</si>
  <si>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</si>
  <si>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</si>
  <si>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</si>
  <si>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</si>
  <si>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</si>
  <si>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</si>
  <si>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</si>
  <si>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</si>
  <si>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</si>
  <si>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</si>
  <si>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</si>
  <si>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</si>
  <si>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</si>
  <si>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</si>
  <si>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</si>
  <si>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</si>
  <si>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</si>
  <si>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</si>
  <si>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</si>
  <si>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</si>
  <si>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</si>
  <si>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</si>
  <si>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</si>
  <si>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</si>
  <si>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</si>
  <si>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</si>
  <si>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</si>
  <si>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</si>
  <si>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</si>
  <si>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</si>
  <si>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</si>
  <si>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</si>
  <si>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</si>
  <si>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</si>
  <si>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</si>
  <si>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</si>
  <si>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</si>
  <si>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</si>
  <si>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</si>
  <si>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</si>
  <si>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</si>
  <si>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</si>
  <si>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</si>
  <si>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</si>
  <si>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</si>
  <si>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</si>
  <si>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2017-18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</si>
  <si>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</si>
  <si>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</si>
  <si>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</si>
  <si>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</si>
  <si>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</si>
  <si>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</si>
  <si>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</si>
  <si>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</si>
  <si>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</si>
  <si>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</si>
  <si>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</si>
  <si>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</si>
  <si>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</si>
  <si>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</si>
  <si>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</si>
  <si>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</si>
  <si>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</si>
  <si>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</si>
  <si>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</si>
  <si>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</si>
  <si>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</si>
  <si>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</si>
  <si>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</si>
  <si>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</si>
  <si>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</si>
  <si>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</si>
  <si>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</si>
  <si>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</si>
  <si>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Allowance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</si>
  <si>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</si>
  <si>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</si>
  <si>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</si>
  <si>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</si>
  <si>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</si>
  <si>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</si>
  <si>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</si>
  <si>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</si>
  <si>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</si>
  <si>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</si>
  <si>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</si>
  <si>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</si>
  <si>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</si>
  <si>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</si>
  <si>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</si>
  <si>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</si>
  <si>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</si>
  <si>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</si>
  <si>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</si>
  <si>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</si>
  <si>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</si>
  <si>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</si>
  <si>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</si>
  <si>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</si>
  <si>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</si>
  <si>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</si>
  <si>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</si>
  <si>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</si>
  <si>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</si>
  <si>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</si>
  <si>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</si>
  <si>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</si>
  <si>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</si>
  <si>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</si>
  <si>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</si>
  <si>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</si>
  <si>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</si>
  <si>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</si>
  <si>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</si>
  <si>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</si>
  <si>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</si>
  <si>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</si>
  <si>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</si>
  <si>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</si>
  <si>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</si>
  <si>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</si>
  <si>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</si>
  <si>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</si>
  <si>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</si>
  <si>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</si>
  <si>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</si>
  <si>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</si>
  <si>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</si>
  <si>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</si>
  <si>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</si>
  <si>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</si>
  <si>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</si>
  <si>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</si>
  <si>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</si>
  <si>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</si>
  <si>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</si>
  <si>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</si>
  <si>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</si>
  <si>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</si>
  <si>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</si>
  <si>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</si>
  <si>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</si>
  <si>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</si>
  <si>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</si>
  <si>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</si>
  <si>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</si>
  <si>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</si>
  <si>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</si>
  <si>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</si>
  <si>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</si>
  <si>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</si>
  <si>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</si>
  <si>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</si>
  <si>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</si>
  <si>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</si>
  <si>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</si>
  <si>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</si>
  <si>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</si>
  <si>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</si>
  <si>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</si>
  <si>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</si>
  <si>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</si>
  <si>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</si>
  <si>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</si>
  <si>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ANINDITA BOSE MANDAL</t>
  </si>
  <si>
    <t>TULIKA CHAKRABORTY</t>
  </si>
  <si>
    <t>RAMA BISWAS</t>
  </si>
  <si>
    <t>ANURAG LAHIRI</t>
  </si>
  <si>
    <t>SHAMPA SARKAR</t>
  </si>
  <si>
    <t>SUDIPTA NATH</t>
  </si>
  <si>
    <t>SUMANTA LAHA</t>
  </si>
  <si>
    <t>SANDEEP KR.DAS</t>
  </si>
  <si>
    <t>AMIT KR.NIRALA</t>
  </si>
  <si>
    <t>PAWAN KUMAR BHARGAWA</t>
  </si>
  <si>
    <t>GUNJA KUMARI</t>
  </si>
  <si>
    <t>ARITRA CHATTERJEE</t>
  </si>
  <si>
    <t>PRINANN DUTTA</t>
  </si>
  <si>
    <t>AMIT SHARMA</t>
  </si>
  <si>
    <t>SUPRIYO MITRA</t>
  </si>
  <si>
    <t>SANTANU SAHA</t>
  </si>
  <si>
    <t>SUBHRADIP BASU</t>
  </si>
  <si>
    <t>SHIB SANKAR SAHA</t>
  </si>
  <si>
    <t>NABARUN BANERJEE</t>
  </si>
  <si>
    <t>SUJOY BAIDYA</t>
  </si>
  <si>
    <t>PABITRA MANDAL</t>
  </si>
  <si>
    <t>DEBDATTA MARIK</t>
  </si>
  <si>
    <t>AVISEK PAL</t>
  </si>
  <si>
    <t>ARUN KANTI BISWAS</t>
  </si>
  <si>
    <t>ANTARA GHOSH</t>
  </si>
  <si>
    <t>KINGSHUK KISKU</t>
  </si>
  <si>
    <t>NAVNIT KUMAR</t>
  </si>
  <si>
    <t>PRABHAKAR KUMAR</t>
  </si>
  <si>
    <t>PARTHA PRATIM MUKHERJEE</t>
  </si>
  <si>
    <t>KAUSHIK BANERJEE</t>
  </si>
  <si>
    <t>SANTOSH KUMAR III</t>
  </si>
  <si>
    <t>AMIT KUMAR NANDI</t>
  </si>
  <si>
    <t>SOMNATH AICH</t>
  </si>
  <si>
    <t>GITIMOY BASU</t>
  </si>
  <si>
    <t>UDDIPAN MUKHERJEE</t>
  </si>
  <si>
    <t>SONU KUMAR</t>
  </si>
  <si>
    <t>ABHIK MUKHERJEE</t>
  </si>
  <si>
    <t>AVISHEK DAS</t>
  </si>
  <si>
    <t>JITENDRA KUMAR</t>
  </si>
  <si>
    <t>ABHISHEK PRAJAPATI</t>
  </si>
  <si>
    <t>DHANANANJAY KUMAR PRIYAWARTI</t>
  </si>
  <si>
    <t>KUMAR GAURAV</t>
  </si>
  <si>
    <t>SUVRADAS SAHA</t>
  </si>
  <si>
    <t>RAJIV GIRI</t>
  </si>
  <si>
    <t>RASHMI PRASAD</t>
  </si>
  <si>
    <t>SANDEEP KUSHWAH</t>
  </si>
  <si>
    <t>SOUMIK RAY</t>
  </si>
  <si>
    <t>DEBDEEP SARKAR</t>
  </si>
  <si>
    <t>ARNAB MAITY</t>
  </si>
  <si>
    <t>MANISHA DAS</t>
  </si>
  <si>
    <t>SOUMITRA KUMAR BISWAS</t>
  </si>
  <si>
    <t>RAKESH RANJAN</t>
  </si>
  <si>
    <t>RABI KUMAR</t>
  </si>
  <si>
    <t>GARGI CHAKRABORTY</t>
  </si>
  <si>
    <t>SANTANU PRASAD SAMANTA</t>
  </si>
  <si>
    <t>SUBHAJIT DAS</t>
  </si>
  <si>
    <t>OM PRAKASH CHOUDHARY</t>
  </si>
  <si>
    <t>HEMANT KUMAR CHANDRA</t>
  </si>
  <si>
    <t>SUPRIYA SARKAR</t>
  </si>
  <si>
    <t>VIKASH KUMAR</t>
  </si>
  <si>
    <t>DEBASHIS BISWAS</t>
  </si>
  <si>
    <t>SANDEEP JOSHI</t>
  </si>
  <si>
    <t>SUSANTA KUMAR PAL</t>
  </si>
  <si>
    <t>ANIMESH RAY</t>
  </si>
  <si>
    <t>SUDIP GHOSH</t>
  </si>
  <si>
    <t>ACHINTA KUMAR DAS</t>
  </si>
  <si>
    <t>BIJAN VELOO</t>
  </si>
  <si>
    <t>SUBHABRATA DAS</t>
  </si>
  <si>
    <t>CHANCHAL KUMAR JHA</t>
  </si>
  <si>
    <t>PAPPU KUMAR</t>
  </si>
  <si>
    <t>SANJAY KUMAR II</t>
  </si>
  <si>
    <t>DEEP CHAUDHURI</t>
  </si>
  <si>
    <t>DEBAPRIYA RAY</t>
  </si>
  <si>
    <t>CHANDAN BANERJEE</t>
  </si>
  <si>
    <t>SAYAN BOSE</t>
  </si>
  <si>
    <t>ANIRBAN DAS</t>
  </si>
  <si>
    <t>KAUSTAV NATH</t>
  </si>
  <si>
    <t>KARAN KUMAR</t>
  </si>
  <si>
    <t>RAJARSHI SAHA</t>
  </si>
  <si>
    <t>SANTANU DANDAPAT</t>
  </si>
  <si>
    <t>GOUTAM SARKAR</t>
  </si>
  <si>
    <t>KOUSIK KR. KARAN</t>
  </si>
  <si>
    <t>SUBHAJIT BANIK</t>
  </si>
  <si>
    <t>RAKESH KUMAR</t>
  </si>
  <si>
    <t>DIBYENDU CHANDA</t>
  </si>
  <si>
    <t>SALANKARA MAHALANOBISH</t>
  </si>
  <si>
    <t>SWETA NATH</t>
  </si>
  <si>
    <t>DUSHYANT KUMAR BAITHA</t>
  </si>
  <si>
    <t>SUBHENDU GHOSH</t>
  </si>
  <si>
    <t>HRISHIKESH BANDYOPADHYAY</t>
  </si>
  <si>
    <t>JATAN SARKAR</t>
  </si>
  <si>
    <t>VEER SAVARKAR</t>
  </si>
  <si>
    <t>PARTHA ADHIKARY</t>
  </si>
  <si>
    <t>BBJPM4973P</t>
  </si>
  <si>
    <t>AKAPC1531C</t>
  </si>
  <si>
    <t>ATOPB2304D</t>
  </si>
  <si>
    <t>AEXPL9365E</t>
  </si>
  <si>
    <t>DZOPS3346R</t>
  </si>
  <si>
    <t>AJQPN1633H</t>
  </si>
  <si>
    <t>AFFPL8349K</t>
  </si>
  <si>
    <t>AZOPD0525E</t>
  </si>
  <si>
    <t>BHEPK5270L</t>
  </si>
  <si>
    <t>BEXPB6462F</t>
  </si>
  <si>
    <t>CCZPK0857J</t>
  </si>
  <si>
    <t>AMIPC1465F</t>
  </si>
  <si>
    <t>BFVPD2032L</t>
  </si>
  <si>
    <t>BQGPS9187M</t>
  </si>
  <si>
    <t>BEMPM0468K</t>
  </si>
  <si>
    <t>CFIPS8418F</t>
  </si>
  <si>
    <t>BILPB2800H</t>
  </si>
  <si>
    <t>DXEPS9170K</t>
  </si>
  <si>
    <t>BGBPB1814R</t>
  </si>
  <si>
    <t>AKEPB7058B</t>
  </si>
  <si>
    <t>BNYPM1288G</t>
  </si>
  <si>
    <t>BDQPM7340M</t>
  </si>
  <si>
    <t>BAXPP0759D</t>
  </si>
  <si>
    <t>AJPPB3256M</t>
  </si>
  <si>
    <t>BCZPG1602C</t>
  </si>
  <si>
    <t>CBHPK3591E</t>
  </si>
  <si>
    <t>AQMPR6840F</t>
  </si>
  <si>
    <t>BDIPK8760K</t>
  </si>
  <si>
    <t>CMEPK2502B</t>
  </si>
  <si>
    <t>BKNPM4932M</t>
  </si>
  <si>
    <t>BBLPB0594F</t>
  </si>
  <si>
    <t>BUDPK8841D</t>
  </si>
  <si>
    <t>AGAPN4473E</t>
  </si>
  <si>
    <t>BAGPA1920E</t>
  </si>
  <si>
    <t>BDDPB7490Q</t>
  </si>
  <si>
    <t>AZOPM1867C</t>
  </si>
  <si>
    <t>CKPPK6309H</t>
  </si>
  <si>
    <t>BAAPM2926G</t>
  </si>
  <si>
    <t>ARLPD6609E</t>
  </si>
  <si>
    <t>CMHPK9026P</t>
  </si>
  <si>
    <t>BUVPP7821A</t>
  </si>
  <si>
    <t>AYMPP6520E</t>
  </si>
  <si>
    <t>AXZPG3089K</t>
  </si>
  <si>
    <t>DNNPS3527M</t>
  </si>
  <si>
    <t>AZUPG4065G</t>
  </si>
  <si>
    <t>BLWPP8432P</t>
  </si>
  <si>
    <t>CQGPK6583C</t>
  </si>
  <si>
    <t>ASKPR5315H</t>
  </si>
  <si>
    <t>BPBPS3130N</t>
  </si>
  <si>
    <t>CATPM8578A</t>
  </si>
  <si>
    <t>BBQPD7817Q</t>
  </si>
  <si>
    <t>BCZPB8548Q</t>
  </si>
  <si>
    <t>BBWPR8862B</t>
  </si>
  <si>
    <t>BOKPK2176N</t>
  </si>
  <si>
    <t>AKFPC5510J</t>
  </si>
  <si>
    <t>ASGPS6349Q</t>
  </si>
  <si>
    <t>BAOPD8560P</t>
  </si>
  <si>
    <t>AJJPC5490J</t>
  </si>
  <si>
    <t>AKEPC8314P</t>
  </si>
  <si>
    <t>ERVPS4452N</t>
  </si>
  <si>
    <t>BVBPK6461L</t>
  </si>
  <si>
    <t>BOPPB0906N</t>
  </si>
  <si>
    <t>AFUPJ4130K</t>
  </si>
  <si>
    <t>BJTPP5704P</t>
  </si>
  <si>
    <t>BPCPR6699G</t>
  </si>
  <si>
    <t>AIVPG1336N</t>
  </si>
  <si>
    <t>AFDPD5698D</t>
  </si>
  <si>
    <t>AISPV4317M</t>
  </si>
  <si>
    <t>AMKPD8736C</t>
  </si>
  <si>
    <t>AMLPJ3895K</t>
  </si>
  <si>
    <t>CLCPK9403J</t>
  </si>
  <si>
    <t>CCWPK8854Q</t>
  </si>
  <si>
    <t>APTPC3382H</t>
  </si>
  <si>
    <t>ASHPR3972K</t>
  </si>
  <si>
    <t>AXEPB3688A</t>
  </si>
  <si>
    <t>AVHPB1717H</t>
  </si>
  <si>
    <t>APEPD6362H</t>
  </si>
  <si>
    <t>AMVPN7546F</t>
  </si>
  <si>
    <t>CNDPK6746F</t>
  </si>
  <si>
    <t>DYDPS0321G</t>
  </si>
  <si>
    <t>BFLPD6711A</t>
  </si>
  <si>
    <t>BXEPS5391A</t>
  </si>
  <si>
    <t>CKAPK7275H</t>
  </si>
  <si>
    <t>AYRPB9732D</t>
  </si>
  <si>
    <t>BSMPK0952N</t>
  </si>
  <si>
    <t>ARGPC2003A</t>
  </si>
  <si>
    <t>AWBPM1441Q</t>
  </si>
  <si>
    <t>AMCPN3055A</t>
  </si>
  <si>
    <t>CAGPB5195R</t>
  </si>
  <si>
    <t>AENPG6036P</t>
  </si>
  <si>
    <t>ASFPB6847H</t>
  </si>
  <si>
    <t>EQCPS3963Q</t>
  </si>
  <si>
    <t>CLLPS0195J</t>
  </si>
  <si>
    <t>HBL/Pr.</t>
  </si>
  <si>
    <t>TA Exmp.</t>
  </si>
  <si>
    <t>Regn Fee</t>
  </si>
  <si>
    <t>SSA</t>
  </si>
  <si>
    <t>80G</t>
  </si>
  <si>
    <t>80U</t>
  </si>
  <si>
    <t>HRA Exmp.</t>
  </si>
  <si>
    <t>GROSS</t>
  </si>
  <si>
    <t>HB INT</t>
  </si>
  <si>
    <t>BMAPA8997B</t>
  </si>
  <si>
    <t>CEA</t>
  </si>
  <si>
    <t>DEBALINA ROY SENGUPTA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</si>
</sst>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1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</cellStyleXfs>
  <cellXfs count="208">
    <xf numFmtId="0" fontId="0" fillId="0" borderId="0" xfId="0"/>
    <xf numFmtId="0" fontId="1" fillId="4" borderId="0" xfId="1" applyFont="1" applyFill="1" applyAlignment="1">
      <alignment vertical="center"/>
    </xf>
    <xf numFmtId="49" fontId="1" fillId="0" borderId="18" xfId="1" applyNumberFormat="1" applyFont="1" applyBorder="1" applyAlignment="1">
      <alignment horizontal="center" vertical="center"/>
    </xf>
    <xf numFmtId="0" fontId="5" fillId="0" borderId="5" xfId="1" applyFont="1" applyBorder="1" applyAlignment="1">
      <alignment vertical="center"/>
    </xf>
    <xf numFmtId="0" fontId="1" fillId="0" borderId="5" xfId="1" applyFont="1" applyBorder="1" applyAlignment="1">
      <alignment vertical="center"/>
    </xf>
    <xf numFmtId="0" fontId="1" fillId="0" borderId="0" xfId="1" applyFont="1" applyBorder="1" applyAlignment="1">
      <alignment vertical="center"/>
    </xf>
    <xf numFmtId="0" fontId="5" fillId="0" borderId="18" xfId="1" applyFont="1" applyBorder="1" applyAlignment="1">
      <alignment vertical="center"/>
    </xf>
    <xf numFmtId="0" fontId="1" fillId="0" borderId="18" xfId="1" applyFont="1" applyBorder="1" applyAlignment="1">
      <alignment vertical="center"/>
    </xf>
    <xf numFmtId="49" fontId="1" fillId="0" borderId="8" xfId="1" applyNumberFormat="1" applyFont="1" applyBorder="1" applyAlignment="1">
      <alignment horizontal="center" vertical="center"/>
    </xf>
    <xf numFmtId="0" fontId="1" fillId="0" borderId="9" xfId="1" applyFont="1" applyBorder="1" applyAlignment="1">
      <alignment vertical="center"/>
    </xf>
    <xf numFmtId="0" fontId="1" fillId="0" borderId="10" xfId="1" applyFont="1" applyBorder="1" applyAlignment="1">
      <alignment vertical="center"/>
    </xf>
    <xf numFmtId="0" fontId="1" fillId="0" borderId="8" xfId="1" applyFont="1" applyBorder="1" applyAlignment="1">
      <alignment vertical="center"/>
    </xf>
    <xf numFmtId="49" fontId="1" fillId="0" borderId="5" xfId="1" applyNumberFormat="1" applyFont="1" applyBorder="1" applyAlignment="1">
      <alignment vertical="center"/>
    </xf>
    <xf numFmtId="0" fontId="1" fillId="0" borderId="6" xfId="1" applyFont="1" applyBorder="1" applyAlignment="1">
      <alignment vertical="center"/>
    </xf>
    <xf numFmtId="0" fontId="1" fillId="0" borderId="7" xfId="1" applyFont="1" applyBorder="1" applyAlignment="1">
      <alignment vertical="center"/>
    </xf>
    <xf numFmtId="49" fontId="1" fillId="0" borderId="18" xfId="1" applyNumberFormat="1" applyFont="1" applyBorder="1" applyAlignment="1">
      <alignment vertical="center"/>
    </xf>
    <xf numFmtId="0" fontId="1" fillId="0" borderId="0" xfId="1" applyFont="1" applyBorder="1" applyAlignment="1">
      <alignment vertical="top"/>
    </xf>
    <xf numFmtId="0" fontId="1" fillId="8" borderId="0" xfId="1" applyFont="1" applyFill="1" applyBorder="1" applyAlignment="1">
      <alignment vertical="center"/>
    </xf>
    <xf numFmtId="0" fontId="1" fillId="8" borderId="25" xfId="1" applyFont="1" applyFill="1" applyBorder="1" applyAlignment="1" applyProtection="1">
      <alignment vertical="center"/>
      <protection locked="0"/>
    </xf>
    <xf numFmtId="0" fontId="1" fillId="8" borderId="26" xfId="1" applyFont="1" applyFill="1" applyBorder="1" applyAlignment="1" applyProtection="1">
      <alignment vertical="center"/>
      <protection locked="0"/>
    </xf>
    <xf numFmtId="0" fontId="6" fillId="4" borderId="0" xfId="1" applyFont="1" applyFill="1" applyAlignment="1">
      <alignment vertical="center"/>
    </xf>
    <xf numFmtId="1" fontId="1" fillId="0" borderId="0" xfId="1" applyNumberFormat="1" applyFont="1" applyBorder="1" applyAlignment="1">
      <alignment vertical="center"/>
    </xf>
    <xf numFmtId="49" fontId="1" fillId="0" borderId="8" xfId="1" applyNumberFormat="1" applyFont="1" applyBorder="1" applyAlignment="1">
      <alignment vertical="center"/>
    </xf>
    <xf numFmtId="1" fontId="1" fillId="0" borderId="9" xfId="1" applyNumberFormat="1" applyFont="1" applyBorder="1" applyAlignment="1">
      <alignment vertical="center"/>
    </xf>
    <xf numFmtId="1" fontId="1" fillId="0" borderId="10" xfId="1" applyNumberFormat="1" applyFont="1" applyBorder="1" applyAlignment="1">
      <alignment vertical="center"/>
    </xf>
    <xf numFmtId="0" fontId="1" fillId="0" borderId="5" xfId="1" applyBorder="1"/>
    <xf numFmtId="0" fontId="1" fillId="0" borderId="18" xfId="1" applyBorder="1"/>
    <xf numFmtId="0" fontId="1" fillId="0" borderId="0" xfId="1" applyBorder="1"/>
    <xf numFmtId="0" fontId="1" fillId="0" borderId="19" xfId="1" applyFont="1" applyBorder="1" applyAlignment="1">
      <alignment vertical="center"/>
    </xf>
    <xf numFmtId="49" fontId="1" fillId="0" borderId="0" xfId="1" applyNumberFormat="1" applyFont="1" applyAlignment="1">
      <alignment vertical="center"/>
    </xf>
    <xf numFmtId="0" fontId="1" fillId="0" borderId="0" xfId="1" applyFont="1" applyAlignment="1">
      <alignment vertical="center"/>
    </xf>
    <xf numFmtId="49" fontId="4" fillId="0" borderId="0" xfId="1" applyNumberFormat="1" applyFont="1" applyAlignment="1">
      <alignment vertical="center"/>
    </xf>
    <xf numFmtId="49" fontId="4" fillId="0" borderId="0" xfId="1" applyNumberFormat="1" applyFont="1" applyAlignment="1">
      <alignment vertical="top"/>
    </xf>
    <xf numFmtId="0" fontId="4" fillId="0" borderId="0" xfId="1" applyFont="1" applyAlignment="1">
      <alignment vertical="center"/>
    </xf>
    <xf numFmtId="0" fontId="1" fillId="4" borderId="0" xfId="1" applyFill="1"/>
    <xf numFmtId="49" fontId="1" fillId="4" borderId="0" xfId="1" applyNumberFormat="1" applyFont="1" applyFill="1" applyAlignment="1">
      <alignment vertical="center"/>
    </xf>
    <xf numFmtId="0" fontId="11" fillId="0" borderId="0" xfId="0" applyFont="1"/>
    <xf numFmtId="0" fontId="11" fillId="3" borderId="0" xfId="0" applyFont="1" applyFill="1"/>
    <xf numFmtId="0" fontId="8" fillId="0" borderId="0" xfId="0" applyFont="1"/>
    <xf numFmtId="0" fontId="8" fillId="2" borderId="0" xfId="0" applyFont="1" applyFill="1"/>
    <xf numFmtId="0" fontId="8" fillId="3" borderId="0" xfId="0" applyFont="1" applyFill="1"/>
    <xf numFmtId="0" fontId="9" fillId="0" borderId="0" xfId="0" applyFont="1"/>
    <xf numFmtId="0" fontId="13" fillId="0" borderId="0" xfId="0" applyFont="1"/>
    <xf numFmtId="0" fontId="11" fillId="3" borderId="1" xfId="0" applyFont="1" applyFill="1" applyBorder="1"/>
    <xf numFmtId="0" fontId="11" fillId="0" borderId="1" xfId="0" applyFont="1" applyBorder="1"/>
    <xf numFmtId="0" fontId="10" fillId="0" borderId="1" xfId="0" applyFont="1" applyBorder="1"/>
    <xf numFmtId="0" fontId="12" fillId="0" borderId="1" xfId="0" applyFont="1" applyBorder="1"/>
    <xf numFmtId="0" fontId="8" fillId="3" borderId="1" xfId="0" applyFont="1" applyFill="1" applyBorder="1"/>
    <xf numFmtId="0" fontId="8" fillId="0" borderId="1" xfId="0" applyFont="1" applyBorder="1"/>
    <xf numFmtId="0" fontId="9" fillId="0" borderId="1" xfId="0" applyFont="1" applyBorder="1"/>
    <xf numFmtId="0" fontId="13" fillId="0" borderId="1" xfId="0" applyFont="1" applyBorder="1"/>
    <xf numFmtId="0" fontId="9" fillId="3" borderId="1" xfId="0" applyFont="1" applyFill="1" applyBorder="1"/>
    <xf numFmtId="0" fontId="10" fillId="3" borderId="1" xfId="0" applyFont="1" applyFill="1" applyBorder="1"/>
    <xf numFmtId="0" fontId="9" fillId="7" borderId="1" xfId="0" applyFont="1" applyFill="1" applyBorder="1"/>
    <xf numFmtId="0" fontId="8" fillId="8" borderId="0" xfId="0" applyFont="1" applyFill="1"/>
    <xf numFmtId="0" fontId="8" fillId="8" borderId="1" xfId="0" applyFont="1" applyFill="1" applyBorder="1"/>
    <xf numFmtId="0" fontId="9" fillId="8" borderId="1" xfId="0" applyFont="1" applyFill="1" applyBorder="1"/>
    <xf numFmtId="0" fontId="13" fillId="8" borderId="1" xfId="0" applyFont="1" applyFill="1" applyBorder="1"/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2" borderId="1" xfId="0" applyFont="1" applyFill="1" applyBorder="1"/>
    <xf numFmtId="1" fontId="11" fillId="0" borderId="1" xfId="0" applyNumberFormat="1" applyFont="1" applyBorder="1"/>
    <xf numFmtId="1" fontId="1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/>
    <xf numFmtId="1" fontId="10" fillId="0" borderId="1" xfId="0" applyNumberFormat="1" applyFont="1" applyBorder="1"/>
    <xf numFmtId="1" fontId="10" fillId="0" borderId="1" xfId="0" applyNumberFormat="1" applyFont="1" applyBorder="1" applyAlignment="1">
      <alignment horizontal="center" vertical="center"/>
    </xf>
    <xf numFmtId="1" fontId="11" fillId="8" borderId="1" xfId="0" applyNumberFormat="1" applyFont="1" applyFill="1" applyBorder="1"/>
    <xf numFmtId="1" fontId="11" fillId="8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49" fontId="1" fillId="0" borderId="1" xfId="1" applyNumberFormat="1" applyFont="1" applyBorder="1" applyAlignment="1">
      <alignment vertical="center"/>
    </xf>
    <xf numFmtId="0" fontId="1" fillId="5" borderId="2" xfId="1" applyFont="1" applyFill="1" applyBorder="1" applyAlignment="1" applyProtection="1">
      <alignment vertical="center"/>
      <protection locked="0"/>
    </xf>
    <xf numFmtId="0" fontId="1" fillId="5" borderId="3" xfId="1" applyFont="1" applyFill="1" applyBorder="1" applyAlignment="1" applyProtection="1">
      <alignment vertical="center"/>
      <protection locked="0"/>
    </xf>
    <xf numFmtId="0" fontId="1" fillId="5" borderId="4" xfId="1" applyFont="1" applyFill="1" applyBorder="1" applyAlignment="1" applyProtection="1">
      <alignment vertical="center"/>
      <protection locked="0"/>
    </xf>
    <xf numFmtId="0" fontId="1" fillId="0" borderId="1" xfId="1" applyFont="1" applyBorder="1" applyAlignment="1">
      <alignment vertical="center" wrapText="1"/>
    </xf>
    <xf numFmtId="0" fontId="4" fillId="5" borderId="1" xfId="1" applyFont="1" applyFill="1" applyBorder="1" applyAlignment="1" applyProtection="1">
      <alignment vertical="center"/>
      <protection locked="0"/>
    </xf>
    <xf numFmtId="0" fontId="4" fillId="0" borderId="0" xfId="1" applyFont="1" applyAlignment="1">
      <alignment horizontal="justify" vertical="top"/>
    </xf>
    <xf numFmtId="0" fontId="1" fillId="5" borderId="0" xfId="1" applyFont="1" applyFill="1" applyBorder="1" applyAlignment="1" applyProtection="1">
      <alignment vertical="center"/>
      <protection locked="0"/>
    </xf>
    <xf numFmtId="49" fontId="1" fillId="0" borderId="2" xfId="1" applyNumberFormat="1" applyFont="1" applyBorder="1" applyAlignment="1">
      <alignment vertical="center"/>
    </xf>
    <xf numFmtId="49" fontId="1" fillId="0" borderId="3" xfId="1" applyNumberFormat="1" applyFont="1" applyBorder="1" applyAlignment="1">
      <alignment vertical="center"/>
    </xf>
    <xf numFmtId="49" fontId="1" fillId="0" borderId="4" xfId="1" applyNumberFormat="1" applyFont="1" applyBorder="1" applyAlignment="1">
      <alignment vertical="center"/>
    </xf>
    <xf numFmtId="49" fontId="1" fillId="5" borderId="2" xfId="1" applyNumberFormat="1" applyFont="1" applyFill="1" applyBorder="1" applyAlignment="1" applyProtection="1">
      <alignment vertical="center"/>
      <protection locked="0"/>
    </xf>
    <xf numFmtId="49" fontId="1" fillId="5" borderId="3" xfId="1" applyNumberFormat="1" applyFont="1" applyFill="1" applyBorder="1" applyAlignment="1" applyProtection="1">
      <alignment vertical="center"/>
      <protection locked="0"/>
    </xf>
    <xf numFmtId="49" fontId="1" fillId="5" borderId="4" xfId="1" applyNumberFormat="1" applyFont="1" applyFill="1" applyBorder="1" applyAlignment="1" applyProtection="1">
      <alignment vertical="center"/>
      <protection locked="0"/>
    </xf>
    <xf numFmtId="0" fontId="1" fillId="0" borderId="5" xfId="1" applyFont="1" applyBorder="1" applyAlignment="1">
      <alignment horizontal="left" vertical="center"/>
    </xf>
    <xf numFmtId="0" fontId="1" fillId="0" borderId="6" xfId="1" applyFont="1" applyBorder="1" applyAlignment="1">
      <alignment horizontal="left" vertical="center"/>
    </xf>
    <xf numFmtId="0" fontId="1" fillId="0" borderId="8" xfId="1" applyFont="1" applyBorder="1" applyAlignment="1">
      <alignment horizontal="left" vertical="center"/>
    </xf>
    <xf numFmtId="0" fontId="1" fillId="0" borderId="9" xfId="1" applyFont="1" applyBorder="1" applyAlignment="1">
      <alignment horizontal="left" vertical="center"/>
    </xf>
    <xf numFmtId="49" fontId="7" fillId="0" borderId="1" xfId="1" applyNumberFormat="1" applyFont="1" applyBorder="1" applyAlignment="1">
      <alignment horizontal="center" vertical="center"/>
    </xf>
    <xf numFmtId="0" fontId="1" fillId="5" borderId="6" xfId="1" applyFill="1" applyBorder="1" applyProtection="1">
      <protection locked="0"/>
    </xf>
    <xf numFmtId="0" fontId="1" fillId="0" borderId="6" xfId="1" applyBorder="1" applyAlignment="1">
      <alignment horizontal="center"/>
    </xf>
    <xf numFmtId="0" fontId="1" fillId="5" borderId="7" xfId="1" applyFill="1" applyBorder="1" applyProtection="1">
      <protection locked="0"/>
    </xf>
    <xf numFmtId="0" fontId="1" fillId="5" borderId="0" xfId="1" applyFill="1" applyBorder="1" applyProtection="1">
      <protection locked="0"/>
    </xf>
    <xf numFmtId="0" fontId="1" fillId="0" borderId="0" xfId="1" applyBorder="1"/>
    <xf numFmtId="1" fontId="1" fillId="5" borderId="0" xfId="1" applyNumberFormat="1" applyFill="1" applyBorder="1" applyProtection="1">
      <protection locked="0"/>
    </xf>
    <xf numFmtId="0" fontId="1" fillId="5" borderId="19" xfId="1" applyFill="1" applyBorder="1" applyProtection="1">
      <protection locked="0"/>
    </xf>
    <xf numFmtId="0" fontId="1" fillId="0" borderId="0" xfId="1" applyFont="1" applyBorder="1" applyAlignment="1">
      <alignment vertical="center"/>
    </xf>
    <xf numFmtId="1" fontId="1" fillId="0" borderId="19" xfId="1" applyNumberFormat="1" applyFont="1" applyBorder="1" applyAlignment="1">
      <alignment vertical="center"/>
    </xf>
    <xf numFmtId="1" fontId="1" fillId="0" borderId="21" xfId="1" applyNumberFormat="1" applyFont="1" applyBorder="1" applyAlignment="1">
      <alignment vertical="center"/>
    </xf>
    <xf numFmtId="1" fontId="1" fillId="5" borderId="0" xfId="1" applyNumberFormat="1" applyFont="1" applyFill="1" applyBorder="1" applyAlignment="1" applyProtection="1">
      <alignment vertical="center"/>
      <protection locked="0"/>
    </xf>
    <xf numFmtId="1" fontId="1" fillId="5" borderId="19" xfId="1" applyNumberFormat="1" applyFont="1" applyFill="1" applyBorder="1" applyAlignment="1" applyProtection="1">
      <alignment vertical="center"/>
      <protection locked="0"/>
    </xf>
    <xf numFmtId="1" fontId="5" fillId="0" borderId="0" xfId="1" applyNumberFormat="1" applyFont="1" applyBorder="1" applyAlignment="1">
      <alignment vertical="center"/>
    </xf>
    <xf numFmtId="1" fontId="1" fillId="0" borderId="0" xfId="1" applyNumberFormat="1" applyFont="1" applyBorder="1" applyAlignment="1">
      <alignment vertical="center"/>
    </xf>
    <xf numFmtId="0" fontId="1" fillId="0" borderId="0" xfId="1" applyFont="1" applyBorder="1" applyAlignment="1">
      <alignment vertical="center" wrapText="1"/>
    </xf>
    <xf numFmtId="1" fontId="1" fillId="5" borderId="21" xfId="1" applyNumberFormat="1" applyFont="1" applyFill="1" applyBorder="1" applyAlignment="1" applyProtection="1">
      <alignment vertical="center"/>
      <protection locked="0"/>
    </xf>
    <xf numFmtId="1" fontId="1" fillId="0" borderId="0" xfId="1" applyNumberFormat="1" applyFont="1" applyBorder="1" applyAlignment="1" applyProtection="1">
      <alignment vertical="center"/>
    </xf>
    <xf numFmtId="1" fontId="1" fillId="0" borderId="19" xfId="1" applyNumberFormat="1" applyFont="1" applyBorder="1" applyAlignment="1" applyProtection="1">
      <alignment vertical="center"/>
    </xf>
    <xf numFmtId="0" fontId="1" fillId="0" borderId="0" xfId="1" applyFont="1" applyBorder="1" applyAlignment="1">
      <alignment horizontal="center" vertical="center"/>
    </xf>
    <xf numFmtId="0" fontId="1" fillId="5" borderId="23" xfId="1" applyFont="1" applyFill="1" applyBorder="1" applyAlignment="1" applyProtection="1">
      <alignment vertical="center"/>
      <protection locked="0"/>
    </xf>
    <xf numFmtId="0" fontId="1" fillId="5" borderId="24" xfId="1" applyFont="1" applyFill="1" applyBorder="1" applyAlignment="1" applyProtection="1">
      <alignment vertical="center"/>
      <protection locked="0"/>
    </xf>
    <xf numFmtId="0" fontId="1" fillId="0" borderId="0" xfId="1" applyFont="1" applyBorder="1" applyAlignment="1">
      <alignment horizontal="right" vertical="top"/>
    </xf>
    <xf numFmtId="0" fontId="1" fillId="0" borderId="0" xfId="1" applyFont="1" applyBorder="1" applyAlignment="1">
      <alignment vertical="top" wrapText="1"/>
    </xf>
    <xf numFmtId="0" fontId="1" fillId="0" borderId="0" xfId="1" applyFont="1" applyBorder="1" applyAlignment="1">
      <alignment vertical="top"/>
    </xf>
    <xf numFmtId="0" fontId="1" fillId="5" borderId="25" xfId="1" applyFont="1" applyFill="1" applyBorder="1" applyAlignment="1" applyProtection="1">
      <alignment vertical="center"/>
      <protection locked="0"/>
    </xf>
    <xf numFmtId="0" fontId="1" fillId="5" borderId="26" xfId="1" applyFont="1" applyFill="1" applyBorder="1" applyAlignment="1" applyProtection="1">
      <alignment vertical="center"/>
      <protection locked="0"/>
    </xf>
    <xf numFmtId="0" fontId="1" fillId="7" borderId="27" xfId="1" applyFont="1" applyFill="1" applyBorder="1" applyAlignment="1">
      <alignment vertical="center"/>
    </xf>
    <xf numFmtId="0" fontId="1" fillId="7" borderId="28" xfId="1" applyFont="1" applyFill="1" applyBorder="1" applyAlignment="1">
      <alignment vertical="center"/>
    </xf>
    <xf numFmtId="0" fontId="1" fillId="0" borderId="19" xfId="1" applyFont="1" applyBorder="1" applyAlignment="1">
      <alignment vertical="center"/>
    </xf>
    <xf numFmtId="0" fontId="1" fillId="0" borderId="21" xfId="1" applyFont="1" applyBorder="1" applyAlignment="1">
      <alignment vertical="center"/>
    </xf>
    <xf numFmtId="0" fontId="1" fillId="0" borderId="18" xfId="1" applyFont="1" applyBorder="1" applyAlignment="1">
      <alignment horizontal="center" vertical="center"/>
    </xf>
    <xf numFmtId="0" fontId="1" fillId="0" borderId="19" xfId="1" applyFont="1" applyBorder="1" applyAlignment="1">
      <alignment horizontal="center" vertical="center"/>
    </xf>
    <xf numFmtId="49" fontId="1" fillId="0" borderId="9" xfId="1" applyNumberFormat="1" applyFont="1" applyBorder="1" applyAlignment="1">
      <alignment vertical="center"/>
    </xf>
    <xf numFmtId="49" fontId="1" fillId="0" borderId="10" xfId="1" applyNumberFormat="1" applyFont="1" applyBorder="1" applyAlignment="1">
      <alignment vertical="center"/>
    </xf>
    <xf numFmtId="1" fontId="1" fillId="0" borderId="7" xfId="1" applyNumberFormat="1" applyFont="1" applyBorder="1" applyAlignment="1">
      <alignment vertical="center"/>
    </xf>
    <xf numFmtId="1" fontId="1" fillId="0" borderId="20" xfId="1" applyNumberFormat="1" applyFont="1" applyBorder="1" applyAlignment="1">
      <alignment vertical="center"/>
    </xf>
    <xf numFmtId="0" fontId="1" fillId="0" borderId="6" xfId="1" applyFont="1" applyBorder="1" applyAlignment="1">
      <alignment vertical="center"/>
    </xf>
    <xf numFmtId="0" fontId="1" fillId="0" borderId="7" xfId="1" applyFont="1" applyBorder="1" applyAlignment="1">
      <alignment vertical="center"/>
    </xf>
    <xf numFmtId="1" fontId="1" fillId="0" borderId="10" xfId="1" applyNumberFormat="1" applyFont="1" applyBorder="1" applyAlignment="1">
      <alignment vertical="center"/>
    </xf>
    <xf numFmtId="1" fontId="1" fillId="0" borderId="22" xfId="1" applyNumberFormat="1" applyFont="1" applyBorder="1" applyAlignment="1">
      <alignment vertical="center"/>
    </xf>
    <xf numFmtId="0" fontId="1" fillId="5" borderId="1" xfId="1" applyFont="1" applyFill="1" applyBorder="1" applyAlignment="1" applyProtection="1">
      <alignment vertical="center"/>
      <protection locked="0"/>
    </xf>
    <xf numFmtId="0" fontId="1" fillId="0" borderId="1" xfId="1" applyFont="1" applyBorder="1" applyAlignment="1">
      <alignment horizontal="center" vertical="center"/>
    </xf>
    <xf numFmtId="0" fontId="1" fillId="0" borderId="19" xfId="1" applyFont="1" applyBorder="1" applyAlignment="1">
      <alignment vertical="center" wrapText="1"/>
    </xf>
    <xf numFmtId="0" fontId="1" fillId="5" borderId="19" xfId="1" applyFont="1" applyFill="1" applyBorder="1" applyAlignment="1" applyProtection="1">
      <alignment vertical="center"/>
      <protection locked="0"/>
    </xf>
    <xf numFmtId="0" fontId="1" fillId="5" borderId="21" xfId="1" applyFont="1" applyFill="1" applyBorder="1" applyAlignment="1" applyProtection="1">
      <alignment vertical="center"/>
      <protection locked="0"/>
    </xf>
    <xf numFmtId="0" fontId="1" fillId="0" borderId="0" xfId="1" applyFont="1" applyBorder="1" applyAlignment="1">
      <alignment horizontal="justify" vertical="center" wrapText="1"/>
    </xf>
    <xf numFmtId="0" fontId="1" fillId="0" borderId="0" xfId="1" applyFont="1" applyBorder="1" applyAlignment="1">
      <alignment horizontal="justify" vertical="center"/>
    </xf>
    <xf numFmtId="0" fontId="1" fillId="0" borderId="19" xfId="1" applyFont="1" applyBorder="1" applyAlignment="1">
      <alignment horizontal="justify" vertical="center"/>
    </xf>
    <xf numFmtId="0" fontId="4" fillId="0" borderId="18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1" fillId="0" borderId="20" xfId="1" applyFont="1" applyBorder="1" applyAlignment="1">
      <alignment vertical="center"/>
    </xf>
    <xf numFmtId="0" fontId="1" fillId="0" borderId="1" xfId="1" applyFont="1" applyBorder="1" applyAlignment="1" applyProtection="1">
      <alignment horizontal="center" vertical="center"/>
    </xf>
    <xf numFmtId="1" fontId="1" fillId="5" borderId="1" xfId="1" applyNumberFormat="1" applyFont="1" applyFill="1" applyBorder="1" applyAlignme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</xf>
    <xf numFmtId="0" fontId="1" fillId="6" borderId="1" xfId="1" applyFont="1" applyFill="1" applyBorder="1" applyAlignment="1" applyProtection="1">
      <alignment vertical="center"/>
      <protection locked="0"/>
    </xf>
    <xf numFmtId="1" fontId="1" fillId="0" borderId="1" xfId="1" applyNumberFormat="1" applyFont="1" applyBorder="1" applyAlignment="1" applyProtection="1">
      <alignment vertical="center"/>
      <protection locked="0"/>
    </xf>
    <xf numFmtId="0" fontId="4" fillId="0" borderId="5" xfId="1" applyFont="1" applyBorder="1" applyAlignment="1">
      <alignment horizontal="center" vertical="top" wrapText="1"/>
    </xf>
    <xf numFmtId="0" fontId="4" fillId="0" borderId="6" xfId="1" applyFont="1" applyBorder="1" applyAlignment="1">
      <alignment horizontal="center" vertical="top" wrapText="1"/>
    </xf>
    <xf numFmtId="0" fontId="4" fillId="0" borderId="7" xfId="1" applyFont="1" applyBorder="1" applyAlignment="1">
      <alignment horizontal="center" vertical="top" wrapText="1"/>
    </xf>
    <xf numFmtId="0" fontId="4" fillId="0" borderId="18" xfId="1" applyFont="1" applyBorder="1" applyAlignment="1">
      <alignment horizontal="center" vertical="top" wrapText="1"/>
    </xf>
    <xf numFmtId="0" fontId="4" fillId="0" borderId="0" xfId="1" applyFont="1" applyBorder="1" applyAlignment="1">
      <alignment horizontal="center" vertical="top" wrapText="1"/>
    </xf>
    <xf numFmtId="0" fontId="4" fillId="0" borderId="19" xfId="1" applyFont="1" applyBorder="1" applyAlignment="1">
      <alignment horizontal="center" vertical="top" wrapText="1"/>
    </xf>
    <xf numFmtId="0" fontId="4" fillId="0" borderId="8" xfId="1" applyFont="1" applyBorder="1" applyAlignment="1">
      <alignment horizontal="center" vertical="top" wrapText="1"/>
    </xf>
    <xf numFmtId="0" fontId="4" fillId="0" borderId="9" xfId="1" applyFont="1" applyBorder="1" applyAlignment="1">
      <alignment horizontal="center" vertical="top" wrapText="1"/>
    </xf>
    <xf numFmtId="0" fontId="4" fillId="0" borderId="10" xfId="1" applyFont="1" applyBorder="1" applyAlignment="1">
      <alignment horizontal="center" vertical="top" wrapText="1"/>
    </xf>
    <xf numFmtId="0" fontId="5" fillId="5" borderId="9" xfId="1" applyFont="1" applyFill="1" applyBorder="1" applyAlignment="1" applyProtection="1">
      <alignment vertical="center"/>
      <protection locked="0"/>
    </xf>
    <xf numFmtId="0" fontId="5" fillId="0" borderId="16" xfId="1" applyFont="1" applyBorder="1" applyAlignment="1">
      <alignment horizontal="center" vertical="center"/>
    </xf>
    <xf numFmtId="0" fontId="5" fillId="5" borderId="16" xfId="1" applyFont="1" applyFill="1" applyBorder="1" applyAlignment="1" applyProtection="1">
      <alignment vertical="center"/>
      <protection locked="0"/>
    </xf>
    <xf numFmtId="0" fontId="5" fillId="5" borderId="17" xfId="1" applyFont="1" applyFill="1" applyBorder="1" applyAlignment="1" applyProtection="1">
      <alignment vertical="center"/>
      <protection locked="0"/>
    </xf>
    <xf numFmtId="164" fontId="5" fillId="5" borderId="2" xfId="1" applyNumberFormat="1" applyFont="1" applyFill="1" applyBorder="1" applyAlignment="1" applyProtection="1">
      <alignment horizontal="center" vertical="center"/>
      <protection locked="0"/>
    </xf>
    <xf numFmtId="164" fontId="5" fillId="5" borderId="3" xfId="1" applyNumberFormat="1" applyFont="1" applyFill="1" applyBorder="1" applyAlignment="1" applyProtection="1">
      <alignment horizontal="center" vertical="center"/>
      <protection locked="0"/>
    </xf>
    <xf numFmtId="164" fontId="5" fillId="5" borderId="4" xfId="1" applyNumberFormat="1" applyFont="1" applyFill="1" applyBorder="1" applyAlignment="1" applyProtection="1">
      <alignment horizontal="center" vertical="center"/>
      <protection locked="0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5" fillId="5" borderId="11" xfId="1" applyFont="1" applyFill="1" applyBorder="1" applyAlignment="1" applyProtection="1">
      <alignment horizontal="center" vertical="center" wrapText="1"/>
      <protection locked="0"/>
    </xf>
    <xf numFmtId="0" fontId="5" fillId="5" borderId="12" xfId="1" applyFont="1" applyFill="1" applyBorder="1" applyAlignment="1" applyProtection="1">
      <alignment horizontal="center" vertical="center" wrapText="1"/>
      <protection locked="0"/>
    </xf>
    <xf numFmtId="0" fontId="5" fillId="5" borderId="13" xfId="1" applyFont="1" applyFill="1" applyBorder="1" applyAlignment="1" applyProtection="1">
      <alignment vertical="center"/>
      <protection locked="0"/>
    </xf>
    <xf numFmtId="0" fontId="5" fillId="5" borderId="14" xfId="1" applyFont="1" applyFill="1" applyBorder="1" applyAlignment="1" applyProtection="1">
      <alignment vertical="center"/>
      <protection locked="0"/>
    </xf>
    <xf numFmtId="0" fontId="5" fillId="5" borderId="15" xfId="1" applyFont="1" applyFill="1" applyBorder="1" applyAlignment="1" applyProtection="1">
      <alignment vertical="center"/>
      <protection locked="0"/>
    </xf>
    <xf numFmtId="0" fontId="4" fillId="0" borderId="5" xfId="1" applyFont="1" applyBorder="1" applyAlignment="1" applyProtection="1">
      <alignment horizontal="center" vertical="center"/>
    </xf>
    <xf numFmtId="0" fontId="4" fillId="0" borderId="6" xfId="1" applyFont="1" applyBorder="1" applyAlignment="1" applyProtection="1">
      <alignment horizontal="center" vertical="center"/>
    </xf>
    <xf numFmtId="0" fontId="4" fillId="0" borderId="7" xfId="1" applyFont="1" applyBorder="1" applyAlignment="1" applyProtection="1">
      <alignment horizontal="center" vertical="center"/>
    </xf>
    <xf numFmtId="0" fontId="4" fillId="0" borderId="8" xfId="1" applyFont="1" applyBorder="1" applyAlignment="1" applyProtection="1">
      <alignment horizontal="center" vertical="center"/>
    </xf>
    <xf numFmtId="0" fontId="4" fillId="0" borderId="9" xfId="1" applyFont="1" applyBorder="1" applyAlignment="1" applyProtection="1">
      <alignment horizontal="center" vertical="center"/>
    </xf>
    <xf numFmtId="0" fontId="4" fillId="0" borderId="10" xfId="1" applyFont="1" applyBorder="1" applyAlignment="1" applyProtection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4" fillId="5" borderId="8" xfId="1" applyFont="1" applyFill="1" applyBorder="1" applyAlignment="1" applyProtection="1">
      <alignment horizontal="left" vertical="center"/>
      <protection locked="0"/>
    </xf>
    <xf numFmtId="0" fontId="4" fillId="5" borderId="9" xfId="1" applyFont="1" applyFill="1" applyBorder="1" applyAlignment="1" applyProtection="1">
      <alignment horizontal="left" vertical="center"/>
      <protection locked="0"/>
    </xf>
    <xf numFmtId="0" fontId="4" fillId="5" borderId="8" xfId="1" applyFont="1" applyFill="1" applyBorder="1" applyAlignment="1" applyProtection="1">
      <alignment horizontal="center" vertical="center"/>
      <protection locked="0"/>
    </xf>
    <xf numFmtId="0" fontId="4" fillId="5" borderId="9" xfId="1" applyFont="1" applyFill="1" applyBorder="1" applyAlignment="1" applyProtection="1">
      <alignment horizontal="center" vertical="center"/>
      <protection locked="0"/>
    </xf>
    <xf numFmtId="0" fontId="4" fillId="5" borderId="10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>
      <alignment horizontal="center" vertical="center"/>
    </xf>
    <xf numFmtId="0" fontId="4" fillId="5" borderId="2" xfId="1" applyFont="1" applyFill="1" applyBorder="1" applyAlignment="1" applyProtection="1">
      <alignment vertical="center"/>
      <protection locked="0"/>
    </xf>
    <xf numFmtId="0" fontId="4" fillId="5" borderId="3" xfId="1" applyFont="1" applyFill="1" applyBorder="1" applyAlignment="1" applyProtection="1">
      <alignment vertical="center"/>
      <protection locked="0"/>
    </xf>
    <xf numFmtId="0" fontId="4" fillId="5" borderId="2" xfId="1" applyFont="1" applyFill="1" applyBorder="1" applyAlignment="1" applyProtection="1">
      <alignment horizontal="center" vertical="center"/>
      <protection locked="0"/>
    </xf>
    <xf numFmtId="0" fontId="4" fillId="5" borderId="3" xfId="1" applyFont="1" applyFill="1" applyBorder="1" applyAlignment="1" applyProtection="1">
      <alignment horizontal="center" vertical="center"/>
      <protection locked="0"/>
    </xf>
    <xf numFmtId="0" fontId="4" fillId="5" borderId="4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4" fillId="5" borderId="5" xfId="1" applyFont="1" applyFill="1" applyBorder="1" applyAlignment="1" applyProtection="1">
      <alignment horizontal="left" vertical="center"/>
      <protection locked="0"/>
    </xf>
    <xf numFmtId="0" fontId="4" fillId="5" borderId="6" xfId="1" applyFont="1" applyFill="1" applyBorder="1" applyAlignment="1" applyProtection="1">
      <alignment horizontal="left" vertical="center"/>
      <protection locked="0"/>
    </xf>
    <xf numFmtId="0" fontId="4" fillId="5" borderId="5" xfId="1" applyFont="1" applyFill="1" applyBorder="1" applyAlignment="1" applyProtection="1">
      <alignment horizontal="center" vertical="center"/>
      <protection locked="0"/>
    </xf>
    <xf numFmtId="0" fontId="4" fillId="5" borderId="6" xfId="1" applyFont="1" applyFill="1" applyBorder="1" applyAlignment="1" applyProtection="1">
      <alignment horizontal="center" vertical="center"/>
      <protection locked="0"/>
    </xf>
    <xf numFmtId="0" fontId="4" fillId="5" borderId="7" xfId="1" applyFont="1" applyFill="1" applyBorder="1" applyAlignment="1" applyProtection="1">
      <alignment horizontal="center" vertical="center"/>
      <protection locked="0"/>
    </xf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opLeftCell="A37" workbookViewId="0">
      <selection activeCell="AD35" sqref="AD35:AH35"/>
    </sheetView>
  </sheetViews>
  <sheetFormatPr defaultColWidth="2.7109375" defaultRowHeight="12.75"/>
  <cols>
    <col min="1" max="1" width="3.28515625" style="29" customWidth="1"/>
    <col min="2" max="34" width="3.28515625" style="30" customWidth="1"/>
    <col min="35" max="35" width="2.7109375" style="1" customWidth="1"/>
    <col min="36" max="36" width="9.42578125" style="1" customWidth="1"/>
    <col min="37" max="109" width="2.7109375" style="1" customWidth="1"/>
    <col min="110" max="256" width="2.7109375" style="30"/>
    <col min="257" max="290" width="3.28515625" style="30" customWidth="1"/>
    <col min="291" max="291" width="2.7109375" style="30" customWidth="1"/>
    <col min="292" max="292" width="9.42578125" style="30" customWidth="1"/>
    <col min="293" max="365" width="2.7109375" style="30" customWidth="1"/>
    <col min="366" max="512" width="2.7109375" style="30"/>
    <col min="513" max="546" width="3.28515625" style="30" customWidth="1"/>
    <col min="547" max="547" width="2.7109375" style="30" customWidth="1"/>
    <col min="548" max="548" width="9.42578125" style="30" customWidth="1"/>
    <col min="549" max="621" width="2.7109375" style="30" customWidth="1"/>
    <col min="622" max="768" width="2.7109375" style="30"/>
    <col min="769" max="802" width="3.28515625" style="30" customWidth="1"/>
    <col min="803" max="803" width="2.7109375" style="30" customWidth="1"/>
    <col min="804" max="804" width="9.42578125" style="30" customWidth="1"/>
    <col min="805" max="877" width="2.7109375" style="30" customWidth="1"/>
    <col min="878" max="1024" width="2.7109375" style="30"/>
    <col min="1025" max="1058" width="3.28515625" style="30" customWidth="1"/>
    <col min="1059" max="1059" width="2.7109375" style="30" customWidth="1"/>
    <col min="1060" max="1060" width="9.42578125" style="30" customWidth="1"/>
    <col min="1061" max="1133" width="2.7109375" style="30" customWidth="1"/>
    <col min="1134" max="1280" width="2.7109375" style="30"/>
    <col min="1281" max="1314" width="3.28515625" style="30" customWidth="1"/>
    <col min="1315" max="1315" width="2.7109375" style="30" customWidth="1"/>
    <col min="1316" max="1316" width="9.42578125" style="30" customWidth="1"/>
    <col min="1317" max="1389" width="2.7109375" style="30" customWidth="1"/>
    <col min="1390" max="1536" width="2.7109375" style="30"/>
    <col min="1537" max="1570" width="3.28515625" style="30" customWidth="1"/>
    <col min="1571" max="1571" width="2.7109375" style="30" customWidth="1"/>
    <col min="1572" max="1572" width="9.42578125" style="30" customWidth="1"/>
    <col min="1573" max="1645" width="2.7109375" style="30" customWidth="1"/>
    <col min="1646" max="1792" width="2.7109375" style="30"/>
    <col min="1793" max="1826" width="3.28515625" style="30" customWidth="1"/>
    <col min="1827" max="1827" width="2.7109375" style="30" customWidth="1"/>
    <col min="1828" max="1828" width="9.42578125" style="30" customWidth="1"/>
    <col min="1829" max="1901" width="2.7109375" style="30" customWidth="1"/>
    <col min="1902" max="2048" width="2.7109375" style="30"/>
    <col min="2049" max="2082" width="3.28515625" style="30" customWidth="1"/>
    <col min="2083" max="2083" width="2.7109375" style="30" customWidth="1"/>
    <col min="2084" max="2084" width="9.42578125" style="30" customWidth="1"/>
    <col min="2085" max="2157" width="2.7109375" style="30" customWidth="1"/>
    <col min="2158" max="2304" width="2.7109375" style="30"/>
    <col min="2305" max="2338" width="3.28515625" style="30" customWidth="1"/>
    <col min="2339" max="2339" width="2.7109375" style="30" customWidth="1"/>
    <col min="2340" max="2340" width="9.42578125" style="30" customWidth="1"/>
    <col min="2341" max="2413" width="2.7109375" style="30" customWidth="1"/>
    <col min="2414" max="2560" width="2.7109375" style="30"/>
    <col min="2561" max="2594" width="3.28515625" style="30" customWidth="1"/>
    <col min="2595" max="2595" width="2.7109375" style="30" customWidth="1"/>
    <col min="2596" max="2596" width="9.42578125" style="30" customWidth="1"/>
    <col min="2597" max="2669" width="2.7109375" style="30" customWidth="1"/>
    <col min="2670" max="2816" width="2.7109375" style="30"/>
    <col min="2817" max="2850" width="3.28515625" style="30" customWidth="1"/>
    <col min="2851" max="2851" width="2.7109375" style="30" customWidth="1"/>
    <col min="2852" max="2852" width="9.42578125" style="30" customWidth="1"/>
    <col min="2853" max="2925" width="2.7109375" style="30" customWidth="1"/>
    <col min="2926" max="3072" width="2.7109375" style="30"/>
    <col min="3073" max="3106" width="3.28515625" style="30" customWidth="1"/>
    <col min="3107" max="3107" width="2.7109375" style="30" customWidth="1"/>
    <col min="3108" max="3108" width="9.42578125" style="30" customWidth="1"/>
    <col min="3109" max="3181" width="2.7109375" style="30" customWidth="1"/>
    <col min="3182" max="3328" width="2.7109375" style="30"/>
    <col min="3329" max="3362" width="3.28515625" style="30" customWidth="1"/>
    <col min="3363" max="3363" width="2.7109375" style="30" customWidth="1"/>
    <col min="3364" max="3364" width="9.42578125" style="30" customWidth="1"/>
    <col min="3365" max="3437" width="2.7109375" style="30" customWidth="1"/>
    <col min="3438" max="3584" width="2.7109375" style="30"/>
    <col min="3585" max="3618" width="3.28515625" style="30" customWidth="1"/>
    <col min="3619" max="3619" width="2.7109375" style="30" customWidth="1"/>
    <col min="3620" max="3620" width="9.42578125" style="30" customWidth="1"/>
    <col min="3621" max="3693" width="2.7109375" style="30" customWidth="1"/>
    <col min="3694" max="3840" width="2.7109375" style="30"/>
    <col min="3841" max="3874" width="3.28515625" style="30" customWidth="1"/>
    <col min="3875" max="3875" width="2.7109375" style="30" customWidth="1"/>
    <col min="3876" max="3876" width="9.42578125" style="30" customWidth="1"/>
    <col min="3877" max="3949" width="2.7109375" style="30" customWidth="1"/>
    <col min="3950" max="4096" width="2.7109375" style="30"/>
    <col min="4097" max="4130" width="3.28515625" style="30" customWidth="1"/>
    <col min="4131" max="4131" width="2.7109375" style="30" customWidth="1"/>
    <col min="4132" max="4132" width="9.42578125" style="30" customWidth="1"/>
    <col min="4133" max="4205" width="2.7109375" style="30" customWidth="1"/>
    <col min="4206" max="4352" width="2.7109375" style="30"/>
    <col min="4353" max="4386" width="3.28515625" style="30" customWidth="1"/>
    <col min="4387" max="4387" width="2.7109375" style="30" customWidth="1"/>
    <col min="4388" max="4388" width="9.42578125" style="30" customWidth="1"/>
    <col min="4389" max="4461" width="2.7109375" style="30" customWidth="1"/>
    <col min="4462" max="4608" width="2.7109375" style="30"/>
    <col min="4609" max="4642" width="3.28515625" style="30" customWidth="1"/>
    <col min="4643" max="4643" width="2.7109375" style="30" customWidth="1"/>
    <col min="4644" max="4644" width="9.42578125" style="30" customWidth="1"/>
    <col min="4645" max="4717" width="2.7109375" style="30" customWidth="1"/>
    <col min="4718" max="4864" width="2.7109375" style="30"/>
    <col min="4865" max="4898" width="3.28515625" style="30" customWidth="1"/>
    <col min="4899" max="4899" width="2.7109375" style="30" customWidth="1"/>
    <col min="4900" max="4900" width="9.42578125" style="30" customWidth="1"/>
    <col min="4901" max="4973" width="2.7109375" style="30" customWidth="1"/>
    <col min="4974" max="5120" width="2.7109375" style="30"/>
    <col min="5121" max="5154" width="3.28515625" style="30" customWidth="1"/>
    <col min="5155" max="5155" width="2.7109375" style="30" customWidth="1"/>
    <col min="5156" max="5156" width="9.42578125" style="30" customWidth="1"/>
    <col min="5157" max="5229" width="2.7109375" style="30" customWidth="1"/>
    <col min="5230" max="5376" width="2.7109375" style="30"/>
    <col min="5377" max="5410" width="3.28515625" style="30" customWidth="1"/>
    <col min="5411" max="5411" width="2.7109375" style="30" customWidth="1"/>
    <col min="5412" max="5412" width="9.42578125" style="30" customWidth="1"/>
    <col min="5413" max="5485" width="2.7109375" style="30" customWidth="1"/>
    <col min="5486" max="5632" width="2.7109375" style="30"/>
    <col min="5633" max="5666" width="3.28515625" style="30" customWidth="1"/>
    <col min="5667" max="5667" width="2.7109375" style="30" customWidth="1"/>
    <col min="5668" max="5668" width="9.42578125" style="30" customWidth="1"/>
    <col min="5669" max="5741" width="2.7109375" style="30" customWidth="1"/>
    <col min="5742" max="5888" width="2.7109375" style="30"/>
    <col min="5889" max="5922" width="3.28515625" style="30" customWidth="1"/>
    <col min="5923" max="5923" width="2.7109375" style="30" customWidth="1"/>
    <col min="5924" max="5924" width="9.42578125" style="30" customWidth="1"/>
    <col min="5925" max="5997" width="2.7109375" style="30" customWidth="1"/>
    <col min="5998" max="6144" width="2.7109375" style="30"/>
    <col min="6145" max="6178" width="3.28515625" style="30" customWidth="1"/>
    <col min="6179" max="6179" width="2.7109375" style="30" customWidth="1"/>
    <col min="6180" max="6180" width="9.42578125" style="30" customWidth="1"/>
    <col min="6181" max="6253" width="2.7109375" style="30" customWidth="1"/>
    <col min="6254" max="6400" width="2.7109375" style="30"/>
    <col min="6401" max="6434" width="3.28515625" style="30" customWidth="1"/>
    <col min="6435" max="6435" width="2.7109375" style="30" customWidth="1"/>
    <col min="6436" max="6436" width="9.42578125" style="30" customWidth="1"/>
    <col min="6437" max="6509" width="2.7109375" style="30" customWidth="1"/>
    <col min="6510" max="6656" width="2.7109375" style="30"/>
    <col min="6657" max="6690" width="3.28515625" style="30" customWidth="1"/>
    <col min="6691" max="6691" width="2.7109375" style="30" customWidth="1"/>
    <col min="6692" max="6692" width="9.42578125" style="30" customWidth="1"/>
    <col min="6693" max="6765" width="2.7109375" style="30" customWidth="1"/>
    <col min="6766" max="6912" width="2.7109375" style="30"/>
    <col min="6913" max="6946" width="3.28515625" style="30" customWidth="1"/>
    <col min="6947" max="6947" width="2.7109375" style="30" customWidth="1"/>
    <col min="6948" max="6948" width="9.42578125" style="30" customWidth="1"/>
    <col min="6949" max="7021" width="2.7109375" style="30" customWidth="1"/>
    <col min="7022" max="7168" width="2.7109375" style="30"/>
    <col min="7169" max="7202" width="3.28515625" style="30" customWidth="1"/>
    <col min="7203" max="7203" width="2.7109375" style="30" customWidth="1"/>
    <col min="7204" max="7204" width="9.42578125" style="30" customWidth="1"/>
    <col min="7205" max="7277" width="2.7109375" style="30" customWidth="1"/>
    <col min="7278" max="7424" width="2.7109375" style="30"/>
    <col min="7425" max="7458" width="3.28515625" style="30" customWidth="1"/>
    <col min="7459" max="7459" width="2.7109375" style="30" customWidth="1"/>
    <col min="7460" max="7460" width="9.42578125" style="30" customWidth="1"/>
    <col min="7461" max="7533" width="2.7109375" style="30" customWidth="1"/>
    <col min="7534" max="7680" width="2.7109375" style="30"/>
    <col min="7681" max="7714" width="3.28515625" style="30" customWidth="1"/>
    <col min="7715" max="7715" width="2.7109375" style="30" customWidth="1"/>
    <col min="7716" max="7716" width="9.42578125" style="30" customWidth="1"/>
    <col min="7717" max="7789" width="2.7109375" style="30" customWidth="1"/>
    <col min="7790" max="7936" width="2.7109375" style="30"/>
    <col min="7937" max="7970" width="3.28515625" style="30" customWidth="1"/>
    <col min="7971" max="7971" width="2.7109375" style="30" customWidth="1"/>
    <col min="7972" max="7972" width="9.42578125" style="30" customWidth="1"/>
    <col min="7973" max="8045" width="2.7109375" style="30" customWidth="1"/>
    <col min="8046" max="8192" width="2.7109375" style="30"/>
    <col min="8193" max="8226" width="3.28515625" style="30" customWidth="1"/>
    <col min="8227" max="8227" width="2.7109375" style="30" customWidth="1"/>
    <col min="8228" max="8228" width="9.42578125" style="30" customWidth="1"/>
    <col min="8229" max="8301" width="2.7109375" style="30" customWidth="1"/>
    <col min="8302" max="8448" width="2.7109375" style="30"/>
    <col min="8449" max="8482" width="3.28515625" style="30" customWidth="1"/>
    <col min="8483" max="8483" width="2.7109375" style="30" customWidth="1"/>
    <col min="8484" max="8484" width="9.42578125" style="30" customWidth="1"/>
    <col min="8485" max="8557" width="2.7109375" style="30" customWidth="1"/>
    <col min="8558" max="8704" width="2.7109375" style="30"/>
    <col min="8705" max="8738" width="3.28515625" style="30" customWidth="1"/>
    <col min="8739" max="8739" width="2.7109375" style="30" customWidth="1"/>
    <col min="8740" max="8740" width="9.42578125" style="30" customWidth="1"/>
    <col min="8741" max="8813" width="2.7109375" style="30" customWidth="1"/>
    <col min="8814" max="8960" width="2.7109375" style="30"/>
    <col min="8961" max="8994" width="3.28515625" style="30" customWidth="1"/>
    <col min="8995" max="8995" width="2.7109375" style="30" customWidth="1"/>
    <col min="8996" max="8996" width="9.42578125" style="30" customWidth="1"/>
    <col min="8997" max="9069" width="2.7109375" style="30" customWidth="1"/>
    <col min="9070" max="9216" width="2.7109375" style="30"/>
    <col min="9217" max="9250" width="3.28515625" style="30" customWidth="1"/>
    <col min="9251" max="9251" width="2.7109375" style="30" customWidth="1"/>
    <col min="9252" max="9252" width="9.42578125" style="30" customWidth="1"/>
    <col min="9253" max="9325" width="2.7109375" style="30" customWidth="1"/>
    <col min="9326" max="9472" width="2.7109375" style="30"/>
    <col min="9473" max="9506" width="3.28515625" style="30" customWidth="1"/>
    <col min="9507" max="9507" width="2.7109375" style="30" customWidth="1"/>
    <col min="9508" max="9508" width="9.42578125" style="30" customWidth="1"/>
    <col min="9509" max="9581" width="2.7109375" style="30" customWidth="1"/>
    <col min="9582" max="9728" width="2.7109375" style="30"/>
    <col min="9729" max="9762" width="3.28515625" style="30" customWidth="1"/>
    <col min="9763" max="9763" width="2.7109375" style="30" customWidth="1"/>
    <col min="9764" max="9764" width="9.42578125" style="30" customWidth="1"/>
    <col min="9765" max="9837" width="2.7109375" style="30" customWidth="1"/>
    <col min="9838" max="9984" width="2.7109375" style="30"/>
    <col min="9985" max="10018" width="3.28515625" style="30" customWidth="1"/>
    <col min="10019" max="10019" width="2.7109375" style="30" customWidth="1"/>
    <col min="10020" max="10020" width="9.42578125" style="30" customWidth="1"/>
    <col min="10021" max="10093" width="2.7109375" style="30" customWidth="1"/>
    <col min="10094" max="10240" width="2.7109375" style="30"/>
    <col min="10241" max="10274" width="3.28515625" style="30" customWidth="1"/>
    <col min="10275" max="10275" width="2.7109375" style="30" customWidth="1"/>
    <col min="10276" max="10276" width="9.42578125" style="30" customWidth="1"/>
    <col min="10277" max="10349" width="2.7109375" style="30" customWidth="1"/>
    <col min="10350" max="10496" width="2.7109375" style="30"/>
    <col min="10497" max="10530" width="3.28515625" style="30" customWidth="1"/>
    <col min="10531" max="10531" width="2.7109375" style="30" customWidth="1"/>
    <col min="10532" max="10532" width="9.42578125" style="30" customWidth="1"/>
    <col min="10533" max="10605" width="2.7109375" style="30" customWidth="1"/>
    <col min="10606" max="10752" width="2.7109375" style="30"/>
    <col min="10753" max="10786" width="3.28515625" style="30" customWidth="1"/>
    <col min="10787" max="10787" width="2.7109375" style="30" customWidth="1"/>
    <col min="10788" max="10788" width="9.42578125" style="30" customWidth="1"/>
    <col min="10789" max="10861" width="2.7109375" style="30" customWidth="1"/>
    <col min="10862" max="11008" width="2.7109375" style="30"/>
    <col min="11009" max="11042" width="3.28515625" style="30" customWidth="1"/>
    <col min="11043" max="11043" width="2.7109375" style="30" customWidth="1"/>
    <col min="11044" max="11044" width="9.42578125" style="30" customWidth="1"/>
    <col min="11045" max="11117" width="2.7109375" style="30" customWidth="1"/>
    <col min="11118" max="11264" width="2.7109375" style="30"/>
    <col min="11265" max="11298" width="3.28515625" style="30" customWidth="1"/>
    <col min="11299" max="11299" width="2.7109375" style="30" customWidth="1"/>
    <col min="11300" max="11300" width="9.42578125" style="30" customWidth="1"/>
    <col min="11301" max="11373" width="2.7109375" style="30" customWidth="1"/>
    <col min="11374" max="11520" width="2.7109375" style="30"/>
    <col min="11521" max="11554" width="3.28515625" style="30" customWidth="1"/>
    <col min="11555" max="11555" width="2.7109375" style="30" customWidth="1"/>
    <col min="11556" max="11556" width="9.42578125" style="30" customWidth="1"/>
    <col min="11557" max="11629" width="2.7109375" style="30" customWidth="1"/>
    <col min="11630" max="11776" width="2.7109375" style="30"/>
    <col min="11777" max="11810" width="3.28515625" style="30" customWidth="1"/>
    <col min="11811" max="11811" width="2.7109375" style="30" customWidth="1"/>
    <col min="11812" max="11812" width="9.42578125" style="30" customWidth="1"/>
    <col min="11813" max="11885" width="2.7109375" style="30" customWidth="1"/>
    <col min="11886" max="12032" width="2.7109375" style="30"/>
    <col min="12033" max="12066" width="3.28515625" style="30" customWidth="1"/>
    <col min="12067" max="12067" width="2.7109375" style="30" customWidth="1"/>
    <col min="12068" max="12068" width="9.42578125" style="30" customWidth="1"/>
    <col min="12069" max="12141" width="2.7109375" style="30" customWidth="1"/>
    <col min="12142" max="12288" width="2.7109375" style="30"/>
    <col min="12289" max="12322" width="3.28515625" style="30" customWidth="1"/>
    <col min="12323" max="12323" width="2.7109375" style="30" customWidth="1"/>
    <col min="12324" max="12324" width="9.42578125" style="30" customWidth="1"/>
    <col min="12325" max="12397" width="2.7109375" style="30" customWidth="1"/>
    <col min="12398" max="12544" width="2.7109375" style="30"/>
    <col min="12545" max="12578" width="3.28515625" style="30" customWidth="1"/>
    <col min="12579" max="12579" width="2.7109375" style="30" customWidth="1"/>
    <col min="12580" max="12580" width="9.42578125" style="30" customWidth="1"/>
    <col min="12581" max="12653" width="2.7109375" style="30" customWidth="1"/>
    <col min="12654" max="12800" width="2.7109375" style="30"/>
    <col min="12801" max="12834" width="3.28515625" style="30" customWidth="1"/>
    <col min="12835" max="12835" width="2.7109375" style="30" customWidth="1"/>
    <col min="12836" max="12836" width="9.42578125" style="30" customWidth="1"/>
    <col min="12837" max="12909" width="2.7109375" style="30" customWidth="1"/>
    <col min="12910" max="13056" width="2.7109375" style="30"/>
    <col min="13057" max="13090" width="3.28515625" style="30" customWidth="1"/>
    <col min="13091" max="13091" width="2.7109375" style="30" customWidth="1"/>
    <col min="13092" max="13092" width="9.42578125" style="30" customWidth="1"/>
    <col min="13093" max="13165" width="2.7109375" style="30" customWidth="1"/>
    <col min="13166" max="13312" width="2.7109375" style="30"/>
    <col min="13313" max="13346" width="3.28515625" style="30" customWidth="1"/>
    <col min="13347" max="13347" width="2.7109375" style="30" customWidth="1"/>
    <col min="13348" max="13348" width="9.42578125" style="30" customWidth="1"/>
    <col min="13349" max="13421" width="2.7109375" style="30" customWidth="1"/>
    <col min="13422" max="13568" width="2.7109375" style="30"/>
    <col min="13569" max="13602" width="3.28515625" style="30" customWidth="1"/>
    <col min="13603" max="13603" width="2.7109375" style="30" customWidth="1"/>
    <col min="13604" max="13604" width="9.42578125" style="30" customWidth="1"/>
    <col min="13605" max="13677" width="2.7109375" style="30" customWidth="1"/>
    <col min="13678" max="13824" width="2.7109375" style="30"/>
    <col min="13825" max="13858" width="3.28515625" style="30" customWidth="1"/>
    <col min="13859" max="13859" width="2.7109375" style="30" customWidth="1"/>
    <col min="13860" max="13860" width="9.42578125" style="30" customWidth="1"/>
    <col min="13861" max="13933" width="2.7109375" style="30" customWidth="1"/>
    <col min="13934" max="14080" width="2.7109375" style="30"/>
    <col min="14081" max="14114" width="3.28515625" style="30" customWidth="1"/>
    <col min="14115" max="14115" width="2.7109375" style="30" customWidth="1"/>
    <col min="14116" max="14116" width="9.42578125" style="30" customWidth="1"/>
    <col min="14117" max="14189" width="2.7109375" style="30" customWidth="1"/>
    <col min="14190" max="14336" width="2.7109375" style="30"/>
    <col min="14337" max="14370" width="3.28515625" style="30" customWidth="1"/>
    <col min="14371" max="14371" width="2.7109375" style="30" customWidth="1"/>
    <col min="14372" max="14372" width="9.42578125" style="30" customWidth="1"/>
    <col min="14373" max="14445" width="2.7109375" style="30" customWidth="1"/>
    <col min="14446" max="14592" width="2.7109375" style="30"/>
    <col min="14593" max="14626" width="3.28515625" style="30" customWidth="1"/>
    <col min="14627" max="14627" width="2.7109375" style="30" customWidth="1"/>
    <col min="14628" max="14628" width="9.42578125" style="30" customWidth="1"/>
    <col min="14629" max="14701" width="2.7109375" style="30" customWidth="1"/>
    <col min="14702" max="14848" width="2.7109375" style="30"/>
    <col min="14849" max="14882" width="3.28515625" style="30" customWidth="1"/>
    <col min="14883" max="14883" width="2.7109375" style="30" customWidth="1"/>
    <col min="14884" max="14884" width="9.42578125" style="30" customWidth="1"/>
    <col min="14885" max="14957" width="2.7109375" style="30" customWidth="1"/>
    <col min="14958" max="15104" width="2.7109375" style="30"/>
    <col min="15105" max="15138" width="3.28515625" style="30" customWidth="1"/>
    <col min="15139" max="15139" width="2.7109375" style="30" customWidth="1"/>
    <col min="15140" max="15140" width="9.42578125" style="30" customWidth="1"/>
    <col min="15141" max="15213" width="2.7109375" style="30" customWidth="1"/>
    <col min="15214" max="15360" width="2.7109375" style="30"/>
    <col min="15361" max="15394" width="3.28515625" style="30" customWidth="1"/>
    <col min="15395" max="15395" width="2.7109375" style="30" customWidth="1"/>
    <col min="15396" max="15396" width="9.42578125" style="30" customWidth="1"/>
    <col min="15397" max="15469" width="2.7109375" style="30" customWidth="1"/>
    <col min="15470" max="15616" width="2.7109375" style="30"/>
    <col min="15617" max="15650" width="3.28515625" style="30" customWidth="1"/>
    <col min="15651" max="15651" width="2.7109375" style="30" customWidth="1"/>
    <col min="15652" max="15652" width="9.42578125" style="30" customWidth="1"/>
    <col min="15653" max="15725" width="2.7109375" style="30" customWidth="1"/>
    <col min="15726" max="15872" width="2.7109375" style="30"/>
    <col min="15873" max="15906" width="3.28515625" style="30" customWidth="1"/>
    <col min="15907" max="15907" width="2.7109375" style="30" customWidth="1"/>
    <col min="15908" max="15908" width="9.42578125" style="30" customWidth="1"/>
    <col min="15909" max="15981" width="2.7109375" style="30" customWidth="1"/>
    <col min="15982" max="16128" width="2.7109375" style="30"/>
    <col min="16129" max="16162" width="3.28515625" style="30" customWidth="1"/>
    <col min="16163" max="16163" width="2.7109375" style="30" customWidth="1"/>
    <col min="16164" max="16164" width="9.42578125" style="30" customWidth="1"/>
    <col min="16165" max="16237" width="2.7109375" style="30" customWidth="1"/>
    <col min="16238" max="16384" width="2.7109375" style="30"/>
  </cols>
  <sheetData>
    <row r="1" spans="1:34" s="1" customFormat="1" ht="30" customHeight="1">
      <c r="A1" s="201" t="s">
        <v>35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2"/>
      <c r="AF1" s="202"/>
      <c r="AG1" s="202"/>
      <c r="AH1" s="202"/>
    </row>
    <row r="2" spans="1:34" s="1" customFormat="1" ht="30" customHeight="1">
      <c r="A2" s="201" t="s">
        <v>36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</row>
    <row r="3" spans="1:34" s="1" customFormat="1" ht="30" customHeight="1">
      <c r="A3" s="201" t="s">
        <v>37</v>
      </c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</row>
    <row r="4" spans="1:34" s="1" customFormat="1" ht="17.100000000000001" customHeight="1">
      <c r="A4" s="163" t="s">
        <v>38</v>
      </c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3" t="s">
        <v>39</v>
      </c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4"/>
      <c r="AG4" s="164"/>
      <c r="AH4" s="165"/>
    </row>
    <row r="5" spans="1:34" s="1" customFormat="1" ht="17.100000000000001" customHeight="1">
      <c r="A5" s="203" t="s">
        <v>40</v>
      </c>
      <c r="B5" s="204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5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206"/>
      <c r="AH5" s="207"/>
    </row>
    <row r="6" spans="1:34" s="1" customFormat="1" ht="17.100000000000001" customHeight="1">
      <c r="A6" s="190" t="s">
        <v>41</v>
      </c>
      <c r="B6" s="191"/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2"/>
      <c r="S6" s="193"/>
      <c r="T6" s="193"/>
      <c r="U6" s="193"/>
      <c r="V6" s="193"/>
      <c r="W6" s="193"/>
      <c r="X6" s="193"/>
      <c r="Y6" s="193"/>
      <c r="Z6" s="193"/>
      <c r="AA6" s="193"/>
      <c r="AB6" s="193"/>
      <c r="AC6" s="193"/>
      <c r="AD6" s="193"/>
      <c r="AE6" s="193"/>
      <c r="AF6" s="193"/>
      <c r="AG6" s="193"/>
      <c r="AH6" s="194"/>
    </row>
    <row r="7" spans="1:34" s="1" customFormat="1" ht="17.100000000000001" customHeight="1">
      <c r="A7" s="163" t="s">
        <v>42</v>
      </c>
      <c r="B7" s="164"/>
      <c r="C7" s="164"/>
      <c r="D7" s="164"/>
      <c r="E7" s="164"/>
      <c r="F7" s="164"/>
      <c r="G7" s="164"/>
      <c r="H7" s="164"/>
      <c r="I7" s="164"/>
      <c r="J7" s="195" t="s">
        <v>43</v>
      </c>
      <c r="K7" s="195"/>
      <c r="L7" s="195"/>
      <c r="M7" s="195"/>
      <c r="N7" s="195"/>
      <c r="O7" s="195"/>
      <c r="P7" s="195"/>
      <c r="Q7" s="195"/>
      <c r="R7" s="163" t="s">
        <v>44</v>
      </c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5"/>
    </row>
    <row r="8" spans="1:34" s="1" customFormat="1" ht="17.100000000000001" customHeight="1">
      <c r="A8" s="196"/>
      <c r="B8" s="197"/>
      <c r="C8" s="197"/>
      <c r="D8" s="197"/>
      <c r="E8" s="197"/>
      <c r="F8" s="197"/>
      <c r="G8" s="197"/>
      <c r="H8" s="197"/>
      <c r="I8" s="197"/>
      <c r="J8" s="74" t="s">
        <v>45</v>
      </c>
      <c r="K8" s="74"/>
      <c r="L8" s="74"/>
      <c r="M8" s="74"/>
      <c r="N8" s="74"/>
      <c r="O8" s="74"/>
      <c r="P8" s="74"/>
      <c r="Q8" s="196"/>
      <c r="R8" s="198"/>
      <c r="S8" s="199"/>
      <c r="T8" s="199"/>
      <c r="U8" s="199"/>
      <c r="V8" s="199"/>
      <c r="W8" s="199"/>
      <c r="X8" s="199"/>
      <c r="Y8" s="199"/>
      <c r="Z8" s="199"/>
      <c r="AA8" s="199"/>
      <c r="AB8" s="199"/>
      <c r="AC8" s="199"/>
      <c r="AD8" s="199"/>
      <c r="AE8" s="199"/>
      <c r="AF8" s="199"/>
      <c r="AG8" s="199"/>
      <c r="AH8" s="200"/>
    </row>
    <row r="9" spans="1:34" s="1" customFormat="1" ht="17.100000000000001" customHeight="1">
      <c r="A9" s="166" t="s">
        <v>46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8"/>
      <c r="R9" s="169" t="s">
        <v>47</v>
      </c>
      <c r="S9" s="170"/>
      <c r="T9" s="170"/>
      <c r="U9" s="170"/>
      <c r="V9" s="170"/>
      <c r="W9" s="170"/>
      <c r="X9" s="170"/>
      <c r="Y9" s="170"/>
      <c r="Z9" s="171"/>
      <c r="AA9" s="169" t="s">
        <v>48</v>
      </c>
      <c r="AB9" s="170"/>
      <c r="AC9" s="170"/>
      <c r="AD9" s="170"/>
      <c r="AE9" s="170"/>
      <c r="AF9" s="170"/>
      <c r="AG9" s="170"/>
      <c r="AH9" s="171"/>
    </row>
    <row r="10" spans="1:34" s="1" customFormat="1" ht="17.100000000000001" customHeight="1">
      <c r="A10" s="175" t="s">
        <v>49</v>
      </c>
      <c r="B10" s="176"/>
      <c r="C10" s="176"/>
      <c r="D10" s="176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8"/>
      <c r="R10" s="172"/>
      <c r="S10" s="173"/>
      <c r="T10" s="173"/>
      <c r="U10" s="173"/>
      <c r="V10" s="173"/>
      <c r="W10" s="173"/>
      <c r="X10" s="173"/>
      <c r="Y10" s="173"/>
      <c r="Z10" s="174"/>
      <c r="AA10" s="172"/>
      <c r="AB10" s="173"/>
      <c r="AC10" s="173"/>
      <c r="AD10" s="173"/>
      <c r="AE10" s="173"/>
      <c r="AF10" s="173"/>
      <c r="AG10" s="173"/>
      <c r="AH10" s="174"/>
    </row>
    <row r="11" spans="1:34" s="1" customFormat="1" ht="17.100000000000001" customHeight="1">
      <c r="A11" s="179"/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1"/>
      <c r="R11" s="182" t="s">
        <v>50</v>
      </c>
      <c r="S11" s="183"/>
      <c r="T11" s="183"/>
      <c r="U11" s="183"/>
      <c r="V11" s="183"/>
      <c r="W11" s="183"/>
      <c r="X11" s="183"/>
      <c r="Y11" s="183"/>
      <c r="Z11" s="184"/>
      <c r="AA11" s="163" t="s">
        <v>51</v>
      </c>
      <c r="AB11" s="164"/>
      <c r="AC11" s="164"/>
      <c r="AD11" s="165"/>
      <c r="AE11" s="163" t="s">
        <v>52</v>
      </c>
      <c r="AF11" s="164"/>
      <c r="AG11" s="164"/>
      <c r="AH11" s="165"/>
    </row>
    <row r="12" spans="1:34" s="1" customFormat="1" ht="17.100000000000001" customHeight="1">
      <c r="A12" s="188" t="s">
        <v>53</v>
      </c>
      <c r="B12" s="189"/>
      <c r="C12" s="156"/>
      <c r="D12" s="156"/>
      <c r="E12" s="156"/>
      <c r="F12" s="156"/>
      <c r="G12" s="156"/>
      <c r="H12" s="156"/>
      <c r="I12" s="156"/>
      <c r="J12" s="157" t="s">
        <v>54</v>
      </c>
      <c r="K12" s="157"/>
      <c r="L12" s="157"/>
      <c r="M12" s="157"/>
      <c r="N12" s="158"/>
      <c r="O12" s="158"/>
      <c r="P12" s="158"/>
      <c r="Q12" s="159"/>
      <c r="R12" s="185"/>
      <c r="S12" s="186"/>
      <c r="T12" s="186"/>
      <c r="U12" s="186"/>
      <c r="V12" s="186"/>
      <c r="W12" s="186"/>
      <c r="X12" s="186"/>
      <c r="Y12" s="186"/>
      <c r="Z12" s="187"/>
      <c r="AA12" s="160" t="s">
        <v>167</v>
      </c>
      <c r="AB12" s="161"/>
      <c r="AC12" s="161"/>
      <c r="AD12" s="162"/>
      <c r="AE12" s="160" t="s">
        <v>168</v>
      </c>
      <c r="AF12" s="161"/>
      <c r="AG12" s="161"/>
      <c r="AH12" s="162"/>
    </row>
    <row r="13" spans="1:34" s="1" customFormat="1" ht="17.100000000000001" customHeight="1">
      <c r="A13" s="163" t="s">
        <v>55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5"/>
    </row>
    <row r="14" spans="1:34" s="1" customFormat="1" ht="17.100000000000001" customHeight="1">
      <c r="A14" s="147" t="s">
        <v>56</v>
      </c>
      <c r="B14" s="148"/>
      <c r="C14" s="148"/>
      <c r="D14" s="148"/>
      <c r="E14" s="149"/>
      <c r="F14" s="147" t="s">
        <v>57</v>
      </c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9"/>
      <c r="S14" s="147" t="s">
        <v>58</v>
      </c>
      <c r="T14" s="148"/>
      <c r="U14" s="148"/>
      <c r="V14" s="148"/>
      <c r="W14" s="148"/>
      <c r="X14" s="148"/>
      <c r="Y14" s="148"/>
      <c r="Z14" s="149"/>
      <c r="AA14" s="147" t="s">
        <v>59</v>
      </c>
      <c r="AB14" s="148"/>
      <c r="AC14" s="148"/>
      <c r="AD14" s="148"/>
      <c r="AE14" s="148"/>
      <c r="AF14" s="148"/>
      <c r="AG14" s="148"/>
      <c r="AH14" s="149"/>
    </row>
    <row r="15" spans="1:34" s="1" customFormat="1" ht="17.100000000000001" customHeight="1">
      <c r="A15" s="150"/>
      <c r="B15" s="151"/>
      <c r="C15" s="151"/>
      <c r="D15" s="151"/>
      <c r="E15" s="152"/>
      <c r="F15" s="150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2"/>
      <c r="S15" s="150"/>
      <c r="T15" s="151"/>
      <c r="U15" s="151"/>
      <c r="V15" s="151"/>
      <c r="W15" s="151"/>
      <c r="X15" s="151"/>
      <c r="Y15" s="151"/>
      <c r="Z15" s="152"/>
      <c r="AA15" s="150"/>
      <c r="AB15" s="151"/>
      <c r="AC15" s="151"/>
      <c r="AD15" s="151"/>
      <c r="AE15" s="151"/>
      <c r="AF15" s="151"/>
      <c r="AG15" s="151"/>
      <c r="AH15" s="152"/>
    </row>
    <row r="16" spans="1:34" s="1" customFormat="1" ht="17.100000000000001" customHeight="1">
      <c r="A16" s="153"/>
      <c r="B16" s="154"/>
      <c r="C16" s="154"/>
      <c r="D16" s="154"/>
      <c r="E16" s="155"/>
      <c r="F16" s="153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5"/>
      <c r="S16" s="153"/>
      <c r="T16" s="154"/>
      <c r="U16" s="154"/>
      <c r="V16" s="154"/>
      <c r="W16" s="154"/>
      <c r="X16" s="154"/>
      <c r="Y16" s="154"/>
      <c r="Z16" s="155"/>
      <c r="AA16" s="153"/>
      <c r="AB16" s="154"/>
      <c r="AC16" s="154"/>
      <c r="AD16" s="154"/>
      <c r="AE16" s="154"/>
      <c r="AF16" s="154"/>
      <c r="AG16" s="154"/>
      <c r="AH16" s="155"/>
    </row>
    <row r="17" spans="1:34" s="1" customFormat="1" ht="17.100000000000001" customHeight="1">
      <c r="A17" s="142" t="s">
        <v>60</v>
      </c>
      <c r="B17" s="142"/>
      <c r="C17" s="142"/>
      <c r="D17" s="142"/>
      <c r="E17" s="142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</row>
    <row r="18" spans="1:34" s="1" customFormat="1" ht="17.100000000000001" customHeight="1">
      <c r="A18" s="142" t="s">
        <v>61</v>
      </c>
      <c r="B18" s="142"/>
      <c r="C18" s="142"/>
      <c r="D18" s="142"/>
      <c r="E18" s="142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</row>
    <row r="19" spans="1:34" s="1" customFormat="1" ht="17.100000000000001" customHeight="1">
      <c r="A19" s="142" t="s">
        <v>62</v>
      </c>
      <c r="B19" s="142"/>
      <c r="C19" s="142"/>
      <c r="D19" s="142"/>
      <c r="E19" s="142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</row>
    <row r="20" spans="1:34" s="1" customFormat="1" ht="17.100000000000001" customHeight="1">
      <c r="A20" s="142" t="s">
        <v>63</v>
      </c>
      <c r="B20" s="142"/>
      <c r="C20" s="142"/>
      <c r="D20" s="142"/>
      <c r="E20" s="142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</row>
    <row r="21" spans="1:34" s="1" customFormat="1" ht="17.100000000000001" customHeight="1">
      <c r="A21" s="144" t="s">
        <v>64</v>
      </c>
      <c r="B21" s="144"/>
      <c r="C21" s="144"/>
      <c r="D21" s="144"/>
      <c r="E21" s="144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6">
        <f>SUM(S17:Z20)</f>
        <v>0</v>
      </c>
      <c r="T21" s="146"/>
      <c r="U21" s="146"/>
      <c r="V21" s="146"/>
      <c r="W21" s="146"/>
      <c r="X21" s="146"/>
      <c r="Y21" s="146"/>
      <c r="Z21" s="146"/>
      <c r="AA21" s="146">
        <f>SUM(AA17:AH20)</f>
        <v>0</v>
      </c>
      <c r="AB21" s="146"/>
      <c r="AC21" s="146"/>
      <c r="AD21" s="146"/>
      <c r="AE21" s="146"/>
      <c r="AF21" s="146"/>
      <c r="AG21" s="146"/>
      <c r="AH21" s="146"/>
    </row>
    <row r="22" spans="1:34" s="1" customFormat="1" ht="15" customHeight="1">
      <c r="A22" s="136" t="s">
        <v>65</v>
      </c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8"/>
    </row>
    <row r="23" spans="1:34" s="1" customFormat="1" ht="15" customHeight="1">
      <c r="A23" s="139" t="s">
        <v>66</v>
      </c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</row>
    <row r="24" spans="1:34" s="1" customFormat="1" ht="15.95" customHeight="1">
      <c r="A24" s="2" t="s">
        <v>67</v>
      </c>
      <c r="B24" s="95" t="s">
        <v>68</v>
      </c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116"/>
      <c r="Q24" s="3"/>
      <c r="R24" s="125"/>
      <c r="S24" s="141"/>
      <c r="T24" s="141"/>
      <c r="U24" s="141"/>
      <c r="V24" s="141"/>
      <c r="W24" s="4"/>
      <c r="X24" s="125"/>
      <c r="Y24" s="141"/>
      <c r="Z24" s="141"/>
      <c r="AA24" s="141"/>
      <c r="AB24" s="141"/>
      <c r="AC24" s="4"/>
      <c r="AD24" s="125"/>
      <c r="AE24" s="141"/>
      <c r="AF24" s="141"/>
      <c r="AG24" s="141"/>
      <c r="AH24" s="141"/>
    </row>
    <row r="25" spans="1:34" s="1" customFormat="1" ht="15.95" customHeight="1">
      <c r="A25" s="2"/>
      <c r="B25" s="5" t="s">
        <v>69</v>
      </c>
      <c r="C25" s="102" t="s">
        <v>70</v>
      </c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30"/>
      <c r="Q25" s="6" t="s">
        <v>71</v>
      </c>
      <c r="R25" s="131"/>
      <c r="S25" s="132"/>
      <c r="T25" s="132"/>
      <c r="U25" s="132"/>
      <c r="V25" s="132"/>
      <c r="W25" s="7"/>
      <c r="X25" s="116"/>
      <c r="Y25" s="117"/>
      <c r="Z25" s="117"/>
      <c r="AA25" s="117"/>
      <c r="AB25" s="117"/>
      <c r="AC25" s="7"/>
      <c r="AD25" s="116"/>
      <c r="AE25" s="117"/>
      <c r="AF25" s="117"/>
      <c r="AG25" s="117"/>
      <c r="AH25" s="117"/>
    </row>
    <row r="26" spans="1:34" s="1" customFormat="1" ht="15.95" customHeight="1">
      <c r="A26" s="2"/>
      <c r="B26" s="5" t="s">
        <v>72</v>
      </c>
      <c r="C26" s="133" t="s">
        <v>73</v>
      </c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5"/>
      <c r="Q26" s="6" t="s">
        <v>71</v>
      </c>
      <c r="R26" s="131"/>
      <c r="S26" s="132"/>
      <c r="T26" s="132"/>
      <c r="U26" s="132"/>
      <c r="V26" s="132"/>
      <c r="W26" s="7"/>
      <c r="X26" s="116"/>
      <c r="Y26" s="117"/>
      <c r="Z26" s="117"/>
      <c r="AA26" s="117"/>
      <c r="AB26" s="117"/>
      <c r="AC26" s="7"/>
      <c r="AD26" s="116"/>
      <c r="AE26" s="117"/>
      <c r="AF26" s="117"/>
      <c r="AG26" s="117"/>
      <c r="AH26" s="117"/>
    </row>
    <row r="27" spans="1:34" s="1" customFormat="1" ht="15.95" customHeight="1">
      <c r="A27" s="2"/>
      <c r="B27" s="5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5"/>
      <c r="Q27" s="7"/>
      <c r="R27" s="116"/>
      <c r="S27" s="117"/>
      <c r="T27" s="117"/>
      <c r="U27" s="117"/>
      <c r="V27" s="117"/>
      <c r="W27" s="7"/>
      <c r="X27" s="116"/>
      <c r="Y27" s="117"/>
      <c r="Z27" s="117"/>
      <c r="AA27" s="117"/>
      <c r="AB27" s="117"/>
      <c r="AC27" s="7"/>
      <c r="AD27" s="116"/>
      <c r="AE27" s="117"/>
      <c r="AF27" s="117"/>
      <c r="AG27" s="117"/>
      <c r="AH27" s="117"/>
    </row>
    <row r="28" spans="1:34" s="1" customFormat="1" ht="15.95" customHeight="1">
      <c r="A28" s="2"/>
      <c r="B28" s="5" t="s">
        <v>74</v>
      </c>
      <c r="C28" s="102" t="s">
        <v>75</v>
      </c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116"/>
      <c r="Q28" s="6" t="s">
        <v>71</v>
      </c>
      <c r="R28" s="99"/>
      <c r="S28" s="103"/>
      <c r="T28" s="103"/>
      <c r="U28" s="103"/>
      <c r="V28" s="103"/>
      <c r="W28" s="7"/>
      <c r="X28" s="96"/>
      <c r="Y28" s="97"/>
      <c r="Z28" s="97"/>
      <c r="AA28" s="97"/>
      <c r="AB28" s="97"/>
      <c r="AC28" s="7"/>
      <c r="AD28" s="96"/>
      <c r="AE28" s="97"/>
      <c r="AF28" s="97"/>
      <c r="AG28" s="97"/>
      <c r="AH28" s="97"/>
    </row>
    <row r="29" spans="1:34" s="1" customFormat="1" ht="15.95" customHeight="1">
      <c r="A29" s="2"/>
      <c r="B29" s="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116"/>
      <c r="Q29" s="7"/>
      <c r="R29" s="96"/>
      <c r="S29" s="97"/>
      <c r="T29" s="97"/>
      <c r="U29" s="97"/>
      <c r="V29" s="97"/>
      <c r="W29" s="7"/>
      <c r="X29" s="96"/>
      <c r="Y29" s="97"/>
      <c r="Z29" s="97"/>
      <c r="AA29" s="97"/>
      <c r="AB29" s="97"/>
      <c r="AC29" s="7"/>
      <c r="AD29" s="96"/>
      <c r="AE29" s="97"/>
      <c r="AF29" s="97"/>
      <c r="AG29" s="97"/>
      <c r="AH29" s="97"/>
    </row>
    <row r="30" spans="1:34" s="1" customFormat="1" ht="15.95" customHeight="1">
      <c r="A30" s="2"/>
      <c r="B30" s="5" t="s">
        <v>76</v>
      </c>
      <c r="C30" s="95" t="s">
        <v>64</v>
      </c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116"/>
      <c r="Q30" s="7"/>
      <c r="R30" s="96"/>
      <c r="S30" s="97"/>
      <c r="T30" s="97"/>
      <c r="U30" s="97"/>
      <c r="V30" s="97"/>
      <c r="W30" s="6" t="s">
        <v>71</v>
      </c>
      <c r="X30" s="96">
        <f>R25+R26+R28</f>
        <v>0</v>
      </c>
      <c r="Y30" s="97"/>
      <c r="Z30" s="97"/>
      <c r="AA30" s="97"/>
      <c r="AB30" s="97"/>
      <c r="AC30" s="7"/>
      <c r="AD30" s="96"/>
      <c r="AE30" s="97"/>
      <c r="AF30" s="97"/>
      <c r="AG30" s="97"/>
      <c r="AH30" s="97"/>
    </row>
    <row r="31" spans="1:34" s="1" customFormat="1" ht="15.95" customHeight="1">
      <c r="A31" s="2" t="s">
        <v>77</v>
      </c>
      <c r="B31" s="102" t="s">
        <v>78</v>
      </c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116"/>
      <c r="Q31" s="7"/>
      <c r="R31" s="96"/>
      <c r="S31" s="97"/>
      <c r="T31" s="97"/>
      <c r="U31" s="97"/>
      <c r="V31" s="97"/>
      <c r="W31" s="7"/>
      <c r="X31" s="96"/>
      <c r="Y31" s="97"/>
      <c r="Z31" s="97"/>
      <c r="AA31" s="97"/>
      <c r="AB31" s="97"/>
      <c r="AC31" s="7"/>
      <c r="AD31" s="96"/>
      <c r="AE31" s="97"/>
      <c r="AF31" s="97"/>
      <c r="AG31" s="97"/>
      <c r="AH31" s="97"/>
    </row>
    <row r="32" spans="1:34" s="1" customFormat="1" ht="15.95" customHeight="1">
      <c r="A32" s="2"/>
      <c r="B32" s="129" t="s">
        <v>79</v>
      </c>
      <c r="C32" s="129"/>
      <c r="D32" s="129"/>
      <c r="E32" s="129"/>
      <c r="F32" s="129"/>
      <c r="G32" s="129"/>
      <c r="H32" s="129"/>
      <c r="I32" s="129"/>
      <c r="J32" s="129"/>
      <c r="K32" s="129"/>
      <c r="L32" s="129" t="s">
        <v>71</v>
      </c>
      <c r="M32" s="129"/>
      <c r="N32" s="129"/>
      <c r="O32" s="129"/>
      <c r="P32" s="129"/>
      <c r="Q32" s="7"/>
      <c r="R32" s="96"/>
      <c r="S32" s="97"/>
      <c r="T32" s="97"/>
      <c r="U32" s="97"/>
      <c r="V32" s="97"/>
      <c r="W32" s="7"/>
      <c r="X32" s="96"/>
      <c r="Y32" s="97"/>
      <c r="Z32" s="97"/>
      <c r="AA32" s="97"/>
      <c r="AB32" s="97"/>
      <c r="AC32" s="7"/>
      <c r="AD32" s="96"/>
      <c r="AE32" s="97"/>
      <c r="AF32" s="97"/>
      <c r="AG32" s="97"/>
      <c r="AH32" s="97"/>
    </row>
    <row r="33" spans="1:34" s="1" customFormat="1" ht="15.95" customHeight="1">
      <c r="A33" s="2"/>
      <c r="B33" s="70" t="s">
        <v>8</v>
      </c>
      <c r="C33" s="71"/>
      <c r="D33" s="71"/>
      <c r="E33" s="71"/>
      <c r="F33" s="71"/>
      <c r="G33" s="71"/>
      <c r="H33" s="71"/>
      <c r="I33" s="71"/>
      <c r="J33" s="71"/>
      <c r="K33" s="72"/>
      <c r="L33" s="70"/>
      <c r="M33" s="71"/>
      <c r="N33" s="71"/>
      <c r="O33" s="71"/>
      <c r="P33" s="72"/>
      <c r="Q33" s="5"/>
      <c r="R33" s="96"/>
      <c r="S33" s="97"/>
      <c r="T33" s="97"/>
      <c r="U33" s="97"/>
      <c r="V33" s="97"/>
      <c r="W33" s="7"/>
      <c r="X33" s="96"/>
      <c r="Y33" s="97"/>
      <c r="Z33" s="97"/>
      <c r="AA33" s="97"/>
      <c r="AB33" s="97"/>
      <c r="AC33" s="7"/>
      <c r="AD33" s="96"/>
      <c r="AE33" s="97"/>
      <c r="AF33" s="97"/>
      <c r="AG33" s="97"/>
      <c r="AH33" s="97"/>
    </row>
    <row r="34" spans="1:34" s="1" customFormat="1" ht="15.95" customHeight="1">
      <c r="A34" s="2"/>
      <c r="B34" s="70" t="s">
        <v>80</v>
      </c>
      <c r="C34" s="71"/>
      <c r="D34" s="71"/>
      <c r="E34" s="71"/>
      <c r="F34" s="71"/>
      <c r="G34" s="71"/>
      <c r="H34" s="71"/>
      <c r="I34" s="71"/>
      <c r="J34" s="71"/>
      <c r="K34" s="72"/>
      <c r="L34" s="70">
        <f>[1]SEARCH!V28</f>
        <v>0</v>
      </c>
      <c r="M34" s="71"/>
      <c r="N34" s="71"/>
      <c r="O34" s="71"/>
      <c r="P34" s="72"/>
      <c r="Q34" s="7"/>
      <c r="R34" s="96"/>
      <c r="S34" s="97"/>
      <c r="T34" s="97"/>
      <c r="U34" s="97"/>
      <c r="V34" s="97"/>
      <c r="W34" s="7"/>
      <c r="X34" s="96"/>
      <c r="Y34" s="97"/>
      <c r="Z34" s="97"/>
      <c r="AA34" s="97"/>
      <c r="AB34" s="97"/>
      <c r="AC34" s="7"/>
      <c r="AD34" s="96"/>
      <c r="AE34" s="97"/>
      <c r="AF34" s="97"/>
      <c r="AG34" s="97"/>
      <c r="AH34" s="97"/>
    </row>
    <row r="35" spans="1:34" s="1" customFormat="1" ht="15.95" customHeight="1">
      <c r="A35" s="2"/>
      <c r="B35" s="70" t="s">
        <v>81</v>
      </c>
      <c r="C35" s="71"/>
      <c r="D35" s="71"/>
      <c r="E35" s="71"/>
      <c r="F35" s="71"/>
      <c r="G35" s="71"/>
      <c r="H35" s="71"/>
      <c r="I35" s="71"/>
      <c r="J35" s="71"/>
      <c r="K35" s="72"/>
      <c r="L35" s="70">
        <f>[1]SEARCH!V29</f>
        <v>0</v>
      </c>
      <c r="M35" s="71"/>
      <c r="N35" s="71"/>
      <c r="O35" s="71"/>
      <c r="P35" s="72"/>
      <c r="Q35" s="7"/>
      <c r="R35" s="96"/>
      <c r="S35" s="97"/>
      <c r="T35" s="97"/>
      <c r="U35" s="97"/>
      <c r="V35" s="97"/>
      <c r="W35" s="6" t="s">
        <v>71</v>
      </c>
      <c r="X35" s="96">
        <f>SUM(L33:P35)</f>
        <v>0</v>
      </c>
      <c r="Y35" s="97"/>
      <c r="Z35" s="97"/>
      <c r="AA35" s="97"/>
      <c r="AB35" s="97"/>
      <c r="AC35" s="7"/>
      <c r="AD35" s="96"/>
      <c r="AE35" s="97"/>
      <c r="AF35" s="97"/>
      <c r="AG35" s="97"/>
      <c r="AH35" s="97"/>
    </row>
    <row r="36" spans="1:34" s="1" customFormat="1" ht="15.95" customHeight="1">
      <c r="A36" s="2" t="s">
        <v>82</v>
      </c>
      <c r="B36" s="124" t="s">
        <v>83</v>
      </c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5"/>
      <c r="Q36" s="7"/>
      <c r="R36" s="96"/>
      <c r="S36" s="97"/>
      <c r="T36" s="97"/>
      <c r="U36" s="97"/>
      <c r="V36" s="97"/>
      <c r="W36" s="6" t="s">
        <v>71</v>
      </c>
      <c r="X36" s="96">
        <f>X30-X35</f>
        <v>0</v>
      </c>
      <c r="Y36" s="97"/>
      <c r="Z36" s="97"/>
      <c r="AA36" s="97"/>
      <c r="AB36" s="97"/>
      <c r="AC36" s="7"/>
      <c r="AD36" s="96"/>
      <c r="AE36" s="97"/>
      <c r="AF36" s="97"/>
      <c r="AG36" s="97"/>
      <c r="AH36" s="97"/>
    </row>
    <row r="37" spans="1:34" s="1" customFormat="1" ht="15.95" customHeight="1">
      <c r="A37" s="2" t="s">
        <v>84</v>
      </c>
      <c r="B37" s="95" t="s">
        <v>85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116"/>
      <c r="Q37" s="7"/>
      <c r="R37" s="96"/>
      <c r="S37" s="97"/>
      <c r="T37" s="97"/>
      <c r="U37" s="97"/>
      <c r="V37" s="97"/>
      <c r="W37" s="7"/>
      <c r="X37" s="96"/>
      <c r="Y37" s="97"/>
      <c r="Z37" s="97"/>
      <c r="AA37" s="97"/>
      <c r="AB37" s="97"/>
      <c r="AC37" s="7"/>
      <c r="AD37" s="96"/>
      <c r="AE37" s="97"/>
      <c r="AF37" s="97"/>
      <c r="AG37" s="97"/>
      <c r="AH37" s="97"/>
    </row>
    <row r="38" spans="1:34" s="1" customFormat="1" ht="15.95" customHeight="1">
      <c r="A38" s="2"/>
      <c r="B38" s="5" t="s">
        <v>69</v>
      </c>
      <c r="C38" s="95" t="s">
        <v>86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116"/>
      <c r="Q38" s="6" t="s">
        <v>71</v>
      </c>
      <c r="R38" s="99"/>
      <c r="S38" s="103"/>
      <c r="T38" s="103"/>
      <c r="U38" s="103"/>
      <c r="V38" s="103"/>
      <c r="W38" s="7"/>
      <c r="X38" s="96"/>
      <c r="Y38" s="97"/>
      <c r="Z38" s="97"/>
      <c r="AA38" s="97"/>
      <c r="AB38" s="97"/>
      <c r="AC38" s="7"/>
      <c r="AD38" s="96"/>
      <c r="AE38" s="97"/>
      <c r="AF38" s="97"/>
      <c r="AG38" s="97"/>
      <c r="AH38" s="97"/>
    </row>
    <row r="39" spans="1:34" s="1" customFormat="1" ht="15.95" customHeight="1">
      <c r="A39" s="2"/>
      <c r="B39" s="5" t="s">
        <v>72</v>
      </c>
      <c r="C39" s="95" t="s">
        <v>87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116"/>
      <c r="Q39" s="6" t="s">
        <v>71</v>
      </c>
      <c r="R39" s="99"/>
      <c r="S39" s="103"/>
      <c r="T39" s="103"/>
      <c r="U39" s="103"/>
      <c r="V39" s="103"/>
      <c r="W39" s="7"/>
      <c r="X39" s="96"/>
      <c r="Y39" s="97"/>
      <c r="Z39" s="97"/>
      <c r="AA39" s="97"/>
      <c r="AB39" s="97"/>
      <c r="AC39" s="7"/>
      <c r="AD39" s="96"/>
      <c r="AE39" s="97"/>
      <c r="AF39" s="97"/>
      <c r="AG39" s="97"/>
      <c r="AH39" s="97"/>
    </row>
    <row r="40" spans="1:34" s="1" customFormat="1" ht="15.95" customHeight="1">
      <c r="A40" s="2" t="s">
        <v>88</v>
      </c>
      <c r="B40" s="95" t="s">
        <v>89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116"/>
      <c r="Q40" s="7"/>
      <c r="R40" s="96"/>
      <c r="S40" s="97"/>
      <c r="T40" s="97"/>
      <c r="U40" s="97"/>
      <c r="V40" s="97"/>
      <c r="W40" s="6" t="s">
        <v>71</v>
      </c>
      <c r="X40" s="96">
        <f>SUM(R38:V39)</f>
        <v>0</v>
      </c>
      <c r="Y40" s="97"/>
      <c r="Z40" s="97"/>
      <c r="AA40" s="97"/>
      <c r="AB40" s="97"/>
      <c r="AC40" s="7"/>
      <c r="AD40" s="96"/>
      <c r="AE40" s="97"/>
      <c r="AF40" s="97"/>
      <c r="AG40" s="97"/>
      <c r="AH40" s="97"/>
    </row>
    <row r="41" spans="1:34" s="1" customFormat="1" ht="15.95" customHeight="1">
      <c r="A41" s="2" t="s">
        <v>90</v>
      </c>
      <c r="B41" s="102" t="s">
        <v>91</v>
      </c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116"/>
      <c r="Q41" s="7"/>
      <c r="R41" s="96"/>
      <c r="S41" s="97"/>
      <c r="T41" s="97"/>
      <c r="U41" s="97"/>
      <c r="V41" s="97"/>
      <c r="W41" s="7"/>
      <c r="X41" s="96"/>
      <c r="Y41" s="97"/>
      <c r="Z41" s="97"/>
      <c r="AA41" s="97"/>
      <c r="AB41" s="97"/>
      <c r="AC41" s="6" t="s">
        <v>71</v>
      </c>
      <c r="AD41" s="96">
        <f>X36-X40</f>
        <v>0</v>
      </c>
      <c r="AE41" s="97"/>
      <c r="AF41" s="97"/>
      <c r="AG41" s="97"/>
      <c r="AH41" s="97"/>
    </row>
    <row r="42" spans="1:34" s="1" customFormat="1" ht="15.95" customHeight="1">
      <c r="A42" s="2" t="s">
        <v>92</v>
      </c>
      <c r="B42" s="102" t="s">
        <v>93</v>
      </c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116"/>
      <c r="Q42" s="7"/>
      <c r="R42" s="96"/>
      <c r="S42" s="97"/>
      <c r="T42" s="97"/>
      <c r="U42" s="97"/>
      <c r="V42" s="97"/>
      <c r="W42" s="7"/>
      <c r="X42" s="96"/>
      <c r="Y42" s="97"/>
      <c r="Z42" s="97"/>
      <c r="AA42" s="97"/>
      <c r="AB42" s="97"/>
      <c r="AC42" s="7"/>
      <c r="AD42" s="96"/>
      <c r="AE42" s="97"/>
      <c r="AF42" s="97"/>
      <c r="AG42" s="97"/>
      <c r="AH42" s="97"/>
    </row>
    <row r="43" spans="1:34" s="1" customFormat="1" ht="15.95" customHeight="1">
      <c r="A43" s="2"/>
      <c r="B43" s="129" t="s">
        <v>94</v>
      </c>
      <c r="C43" s="129"/>
      <c r="D43" s="129"/>
      <c r="E43" s="129"/>
      <c r="F43" s="129"/>
      <c r="G43" s="129"/>
      <c r="H43" s="129"/>
      <c r="I43" s="129"/>
      <c r="J43" s="129"/>
      <c r="K43" s="129" t="s">
        <v>71</v>
      </c>
      <c r="L43" s="129"/>
      <c r="M43" s="129"/>
      <c r="N43" s="129"/>
      <c r="O43" s="129"/>
      <c r="P43" s="129"/>
      <c r="Q43" s="7"/>
      <c r="R43" s="96"/>
      <c r="S43" s="97"/>
      <c r="T43" s="97"/>
      <c r="U43" s="97"/>
      <c r="V43" s="97"/>
      <c r="W43" s="7"/>
      <c r="X43" s="96"/>
      <c r="Y43" s="97"/>
      <c r="Z43" s="97"/>
      <c r="AA43" s="97"/>
      <c r="AB43" s="97"/>
      <c r="AC43" s="7"/>
      <c r="AD43" s="96"/>
      <c r="AE43" s="97"/>
      <c r="AF43" s="97"/>
      <c r="AG43" s="97"/>
      <c r="AH43" s="97"/>
    </row>
    <row r="44" spans="1:34" s="1" customFormat="1" ht="15.95" customHeight="1">
      <c r="A44" s="2"/>
      <c r="B44" s="128"/>
      <c r="C44" s="128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7"/>
      <c r="R44" s="96"/>
      <c r="S44" s="97"/>
      <c r="T44" s="97"/>
      <c r="U44" s="97"/>
      <c r="V44" s="97"/>
      <c r="W44" s="7"/>
      <c r="X44" s="96"/>
      <c r="Y44" s="97"/>
      <c r="Z44" s="97"/>
      <c r="AA44" s="97"/>
      <c r="AB44" s="97"/>
      <c r="AC44" s="7"/>
      <c r="AD44" s="96"/>
      <c r="AE44" s="97"/>
      <c r="AF44" s="97"/>
      <c r="AG44" s="97"/>
      <c r="AH44" s="97"/>
    </row>
    <row r="45" spans="1:34" s="1" customFormat="1" ht="15.95" customHeight="1">
      <c r="A45" s="2"/>
      <c r="B45" s="128"/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7"/>
      <c r="R45" s="96"/>
      <c r="S45" s="97"/>
      <c r="T45" s="97"/>
      <c r="U45" s="97"/>
      <c r="V45" s="97"/>
      <c r="W45" s="6" t="s">
        <v>71</v>
      </c>
      <c r="X45" s="96">
        <f>SUM(K44:P45)</f>
        <v>0</v>
      </c>
      <c r="Y45" s="97"/>
      <c r="Z45" s="97"/>
      <c r="AA45" s="97"/>
      <c r="AB45" s="97"/>
      <c r="AC45" s="7"/>
      <c r="AD45" s="96"/>
      <c r="AE45" s="97"/>
      <c r="AF45" s="97"/>
      <c r="AG45" s="97"/>
      <c r="AH45" s="97"/>
    </row>
    <row r="46" spans="1:34" s="1" customFormat="1" ht="15.95" customHeight="1">
      <c r="A46" s="2" t="s">
        <v>95</v>
      </c>
      <c r="B46" s="124" t="s">
        <v>96</v>
      </c>
      <c r="C46" s="124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5"/>
      <c r="Q46" s="7"/>
      <c r="R46" s="96"/>
      <c r="S46" s="97"/>
      <c r="T46" s="97"/>
      <c r="U46" s="97"/>
      <c r="V46" s="97"/>
      <c r="W46" s="7"/>
      <c r="X46" s="96"/>
      <c r="Y46" s="97"/>
      <c r="Z46" s="97"/>
      <c r="AA46" s="97"/>
      <c r="AB46" s="97"/>
      <c r="AC46" s="6" t="s">
        <v>71</v>
      </c>
      <c r="AD46" s="96">
        <f>AD41+X45</f>
        <v>0</v>
      </c>
      <c r="AE46" s="97"/>
      <c r="AF46" s="97"/>
      <c r="AG46" s="97"/>
      <c r="AH46" s="97"/>
    </row>
    <row r="47" spans="1:34" s="1" customFormat="1" ht="15.95" customHeight="1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  <c r="Q47" s="11"/>
      <c r="R47" s="126"/>
      <c r="S47" s="127"/>
      <c r="T47" s="127"/>
      <c r="U47" s="127"/>
      <c r="V47" s="127"/>
      <c r="W47" s="11"/>
      <c r="X47" s="126"/>
      <c r="Y47" s="127"/>
      <c r="Z47" s="127"/>
      <c r="AA47" s="127"/>
      <c r="AB47" s="127"/>
      <c r="AC47" s="11"/>
      <c r="AD47" s="126"/>
      <c r="AE47" s="127"/>
      <c r="AF47" s="127"/>
      <c r="AG47" s="127"/>
      <c r="AH47" s="127"/>
    </row>
    <row r="48" spans="1:34" s="1" customFormat="1" ht="15" customHeight="1">
      <c r="A48" s="120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0"/>
      <c r="AB48" s="120"/>
      <c r="AC48" s="120"/>
      <c r="AD48" s="120"/>
      <c r="AE48" s="120"/>
      <c r="AF48" s="120"/>
      <c r="AG48" s="120"/>
      <c r="AH48" s="121"/>
    </row>
    <row r="49" spans="1:34" s="1" customFormat="1" ht="15" customHeight="1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4"/>
      <c r="Q49" s="4"/>
      <c r="R49" s="122"/>
      <c r="S49" s="123"/>
      <c r="T49" s="123"/>
      <c r="U49" s="123"/>
      <c r="V49" s="123"/>
      <c r="W49" s="4"/>
      <c r="X49" s="124"/>
      <c r="Y49" s="124"/>
      <c r="Z49" s="124"/>
      <c r="AA49" s="124"/>
      <c r="AB49" s="125"/>
      <c r="AC49" s="4"/>
      <c r="AD49" s="124"/>
      <c r="AE49" s="124"/>
      <c r="AF49" s="124"/>
      <c r="AG49" s="124"/>
      <c r="AH49" s="125"/>
    </row>
    <row r="50" spans="1:34" s="1" customFormat="1" ht="15" customHeight="1">
      <c r="A50" s="2" t="s">
        <v>97</v>
      </c>
      <c r="B50" s="102" t="s">
        <v>98</v>
      </c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116"/>
      <c r="Q50" s="7"/>
      <c r="R50" s="96"/>
      <c r="S50" s="97"/>
      <c r="T50" s="97"/>
      <c r="U50" s="97"/>
      <c r="V50" s="97"/>
      <c r="W50" s="7"/>
      <c r="X50" s="116"/>
      <c r="Y50" s="117"/>
      <c r="Z50" s="117"/>
      <c r="AA50" s="117"/>
      <c r="AB50" s="117"/>
      <c r="AC50" s="118"/>
      <c r="AD50" s="106"/>
      <c r="AE50" s="106"/>
      <c r="AF50" s="106"/>
      <c r="AG50" s="106"/>
      <c r="AH50" s="119"/>
    </row>
    <row r="51" spans="1:34" s="1" customFormat="1" ht="15" customHeight="1">
      <c r="A51" s="15"/>
      <c r="B51" s="95" t="s">
        <v>99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116"/>
      <c r="Q51" s="7"/>
      <c r="R51" s="96"/>
      <c r="S51" s="97"/>
      <c r="T51" s="97"/>
      <c r="U51" s="97"/>
      <c r="V51" s="97"/>
      <c r="W51" s="7"/>
      <c r="X51" s="116"/>
      <c r="Y51" s="117"/>
      <c r="Z51" s="117"/>
      <c r="AA51" s="117"/>
      <c r="AB51" s="117"/>
      <c r="AC51" s="7"/>
      <c r="AD51" s="116"/>
      <c r="AE51" s="117"/>
      <c r="AF51" s="117"/>
      <c r="AG51" s="117"/>
      <c r="AH51" s="117"/>
    </row>
    <row r="52" spans="1:34" s="1" customFormat="1" ht="15" customHeight="1">
      <c r="A52" s="15"/>
      <c r="B52" s="5" t="s">
        <v>100</v>
      </c>
      <c r="C52" s="95" t="s">
        <v>101</v>
      </c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116"/>
      <c r="Q52" s="7"/>
      <c r="R52" s="96"/>
      <c r="S52" s="97"/>
      <c r="T52" s="97"/>
      <c r="U52" s="97"/>
      <c r="V52" s="97"/>
      <c r="W52" s="7"/>
      <c r="X52" s="116" t="s">
        <v>102</v>
      </c>
      <c r="Y52" s="117"/>
      <c r="Z52" s="117"/>
      <c r="AA52" s="117"/>
      <c r="AB52" s="117"/>
      <c r="AC52" s="118" t="s">
        <v>103</v>
      </c>
      <c r="AD52" s="106"/>
      <c r="AE52" s="106"/>
      <c r="AF52" s="106"/>
      <c r="AG52" s="106"/>
      <c r="AH52" s="119"/>
    </row>
    <row r="53" spans="1:34" s="1" customFormat="1" ht="15" customHeight="1">
      <c r="A53" s="15"/>
      <c r="B53" s="106" t="s">
        <v>104</v>
      </c>
      <c r="C53" s="106"/>
      <c r="D53" s="107" t="s">
        <v>17</v>
      </c>
      <c r="E53" s="107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8"/>
      <c r="Q53" s="6" t="s">
        <v>71</v>
      </c>
      <c r="R53" s="99"/>
      <c r="S53" s="103"/>
      <c r="T53" s="103"/>
      <c r="U53" s="103"/>
      <c r="V53" s="103"/>
      <c r="W53" s="7"/>
      <c r="X53" s="116"/>
      <c r="Y53" s="117"/>
      <c r="Z53" s="117"/>
      <c r="AA53" s="117"/>
      <c r="AB53" s="117"/>
      <c r="AC53" s="7"/>
      <c r="AD53" s="116"/>
      <c r="AE53" s="117"/>
      <c r="AF53" s="117"/>
      <c r="AG53" s="117"/>
      <c r="AH53" s="117"/>
    </row>
    <row r="54" spans="1:34" s="1" customFormat="1" ht="15" customHeight="1">
      <c r="A54" s="15"/>
      <c r="B54" s="106" t="s">
        <v>105</v>
      </c>
      <c r="C54" s="106"/>
      <c r="D54" s="112" t="s">
        <v>106</v>
      </c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3"/>
      <c r="Q54" s="6" t="s">
        <v>71</v>
      </c>
      <c r="R54" s="99"/>
      <c r="S54" s="103"/>
      <c r="T54" s="103"/>
      <c r="U54" s="103"/>
      <c r="V54" s="103"/>
      <c r="W54" s="7"/>
      <c r="X54" s="116"/>
      <c r="Y54" s="117"/>
      <c r="Z54" s="117"/>
      <c r="AA54" s="117"/>
      <c r="AB54" s="117"/>
      <c r="AC54" s="7"/>
      <c r="AD54" s="116"/>
      <c r="AE54" s="117"/>
      <c r="AF54" s="117"/>
      <c r="AG54" s="117"/>
      <c r="AH54" s="117"/>
    </row>
    <row r="55" spans="1:34" s="1" customFormat="1" ht="15" customHeight="1">
      <c r="A55" s="15"/>
      <c r="B55" s="106" t="s">
        <v>107</v>
      </c>
      <c r="C55" s="106"/>
      <c r="D55" s="112" t="s">
        <v>108</v>
      </c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3"/>
      <c r="Q55" s="6" t="s">
        <v>71</v>
      </c>
      <c r="R55" s="99"/>
      <c r="S55" s="103"/>
      <c r="T55" s="103"/>
      <c r="U55" s="103"/>
      <c r="V55" s="103"/>
      <c r="W55" s="7"/>
      <c r="X55" s="116"/>
      <c r="Y55" s="117"/>
      <c r="Z55" s="117"/>
      <c r="AA55" s="117"/>
      <c r="AB55" s="117"/>
      <c r="AC55" s="7"/>
      <c r="AD55" s="116"/>
      <c r="AE55" s="117"/>
      <c r="AF55" s="117"/>
      <c r="AG55" s="117"/>
      <c r="AH55" s="117"/>
    </row>
    <row r="56" spans="1:34" s="1" customFormat="1" ht="15" customHeight="1">
      <c r="A56" s="15"/>
      <c r="B56" s="106" t="s">
        <v>109</v>
      </c>
      <c r="C56" s="106"/>
      <c r="D56" s="112" t="s">
        <v>23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3"/>
      <c r="Q56" s="6" t="s">
        <v>71</v>
      </c>
      <c r="R56" s="99"/>
      <c r="S56" s="103"/>
      <c r="T56" s="103"/>
      <c r="U56" s="103"/>
      <c r="V56" s="103"/>
      <c r="W56" s="7"/>
      <c r="X56" s="116"/>
      <c r="Y56" s="117"/>
      <c r="Z56" s="117"/>
      <c r="AA56" s="117"/>
      <c r="AB56" s="117"/>
      <c r="AC56" s="7"/>
      <c r="AD56" s="116"/>
      <c r="AE56" s="117"/>
      <c r="AF56" s="117"/>
      <c r="AG56" s="117"/>
      <c r="AH56" s="117"/>
    </row>
    <row r="57" spans="1:34" s="1" customFormat="1" ht="15" customHeight="1">
      <c r="A57" s="15"/>
      <c r="B57" s="106" t="s">
        <v>110</v>
      </c>
      <c r="C57" s="106"/>
      <c r="D57" s="112" t="s">
        <v>26</v>
      </c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3"/>
      <c r="Q57" s="6" t="s">
        <v>71</v>
      </c>
      <c r="R57" s="99"/>
      <c r="S57" s="103"/>
      <c r="T57" s="103"/>
      <c r="U57" s="103"/>
      <c r="V57" s="103"/>
      <c r="W57" s="7"/>
      <c r="X57" s="116"/>
      <c r="Y57" s="117"/>
      <c r="Z57" s="117"/>
      <c r="AA57" s="117"/>
      <c r="AB57" s="117"/>
      <c r="AC57" s="7"/>
      <c r="AD57" s="116"/>
      <c r="AE57" s="117"/>
      <c r="AF57" s="117"/>
      <c r="AG57" s="117"/>
      <c r="AH57" s="117"/>
    </row>
    <row r="58" spans="1:34" s="1" customFormat="1" ht="15" customHeight="1">
      <c r="A58" s="15"/>
      <c r="B58" s="106" t="s">
        <v>111</v>
      </c>
      <c r="C58" s="106"/>
      <c r="D58" s="112" t="s">
        <v>25</v>
      </c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3"/>
      <c r="Q58" s="6" t="s">
        <v>71</v>
      </c>
      <c r="R58" s="99"/>
      <c r="S58" s="103"/>
      <c r="T58" s="103"/>
      <c r="U58" s="103"/>
      <c r="V58" s="103"/>
      <c r="W58" s="7"/>
      <c r="X58" s="96"/>
      <c r="Y58" s="97"/>
      <c r="Z58" s="97"/>
      <c r="AA58" s="97"/>
      <c r="AB58" s="97"/>
      <c r="AC58" s="7"/>
      <c r="AD58" s="96"/>
      <c r="AE58" s="97"/>
      <c r="AF58" s="97"/>
      <c r="AG58" s="97"/>
      <c r="AH58" s="97"/>
    </row>
    <row r="59" spans="1:34" s="1" customFormat="1" ht="15" customHeight="1">
      <c r="A59" s="15"/>
      <c r="B59" s="106" t="s">
        <v>112</v>
      </c>
      <c r="C59" s="106"/>
      <c r="D59" s="112" t="s">
        <v>29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3"/>
      <c r="Q59" s="6" t="s">
        <v>71</v>
      </c>
      <c r="R59" s="99"/>
      <c r="S59" s="103"/>
      <c r="T59" s="103"/>
      <c r="U59" s="103"/>
      <c r="V59" s="103"/>
      <c r="W59" s="6"/>
      <c r="X59" s="96"/>
      <c r="Y59" s="97"/>
      <c r="Z59" s="97"/>
      <c r="AA59" s="97"/>
      <c r="AB59" s="97"/>
      <c r="AC59" s="6"/>
      <c r="AD59" s="96"/>
      <c r="AE59" s="97"/>
      <c r="AF59" s="97"/>
      <c r="AG59" s="97"/>
      <c r="AH59" s="97"/>
    </row>
    <row r="60" spans="1:34" s="1" customFormat="1" ht="15" customHeight="1">
      <c r="A60" s="15"/>
      <c r="B60" s="106" t="s">
        <v>112</v>
      </c>
      <c r="C60" s="106"/>
      <c r="D60" s="114" t="s">
        <v>113</v>
      </c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5"/>
      <c r="Q60" s="7" t="s">
        <v>71</v>
      </c>
      <c r="R60" s="99"/>
      <c r="S60" s="103"/>
      <c r="T60" s="103"/>
      <c r="U60" s="103"/>
      <c r="V60" s="103"/>
      <c r="W60" s="6"/>
      <c r="X60" s="99"/>
      <c r="Y60" s="103"/>
      <c r="Z60" s="103"/>
      <c r="AA60" s="103"/>
      <c r="AB60" s="103"/>
      <c r="AC60" s="6" t="s">
        <v>71</v>
      </c>
      <c r="AD60" s="99"/>
      <c r="AE60" s="103"/>
      <c r="AF60" s="103"/>
      <c r="AG60" s="103"/>
      <c r="AH60" s="103"/>
    </row>
    <row r="61" spans="1:34" s="1" customFormat="1" ht="15" customHeight="1">
      <c r="A61" s="15"/>
      <c r="B61" s="106" t="s">
        <v>114</v>
      </c>
      <c r="C61" s="106"/>
      <c r="D61" s="95" t="s">
        <v>115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7" t="s">
        <v>71</v>
      </c>
      <c r="R61" s="96"/>
      <c r="S61" s="97"/>
      <c r="T61" s="97"/>
      <c r="U61" s="97"/>
      <c r="V61" s="97"/>
      <c r="W61" s="6" t="s">
        <v>71</v>
      </c>
      <c r="X61" s="99">
        <f>SUM(R53:V61)</f>
        <v>0</v>
      </c>
      <c r="Y61" s="103"/>
      <c r="Z61" s="103"/>
      <c r="AA61" s="103"/>
      <c r="AB61" s="103"/>
      <c r="AC61" s="6" t="s">
        <v>71</v>
      </c>
      <c r="AD61" s="99">
        <f>IF(X61+(R69-AD69)&gt;150000,150000,X61+(R69-AD69))</f>
        <v>0</v>
      </c>
      <c r="AE61" s="103"/>
      <c r="AF61" s="103"/>
      <c r="AG61" s="103"/>
      <c r="AH61" s="103"/>
    </row>
    <row r="62" spans="1:34" s="1" customFormat="1" ht="15" customHeight="1">
      <c r="A62" s="15"/>
      <c r="B62" s="109" t="s">
        <v>116</v>
      </c>
      <c r="C62" s="109"/>
      <c r="D62" s="110" t="s">
        <v>117</v>
      </c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7"/>
      <c r="R62" s="96"/>
      <c r="S62" s="97"/>
      <c r="T62" s="97"/>
      <c r="U62" s="97"/>
      <c r="V62" s="97"/>
      <c r="W62" s="7"/>
      <c r="X62" s="96"/>
      <c r="Y62" s="97"/>
      <c r="Z62" s="97"/>
      <c r="AA62" s="97"/>
      <c r="AB62" s="97"/>
      <c r="AC62" s="6"/>
      <c r="AD62" s="96"/>
      <c r="AE62" s="97"/>
      <c r="AF62" s="97"/>
      <c r="AG62" s="97"/>
      <c r="AH62" s="97"/>
    </row>
    <row r="63" spans="1:34" s="1" customFormat="1" ht="15" customHeight="1">
      <c r="A63" s="15"/>
      <c r="B63" s="109"/>
      <c r="C63" s="109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7"/>
      <c r="R63" s="96"/>
      <c r="S63" s="97"/>
      <c r="T63" s="97"/>
      <c r="U63" s="97"/>
      <c r="V63" s="97"/>
      <c r="W63" s="7"/>
      <c r="X63" s="96"/>
      <c r="Y63" s="97"/>
      <c r="Z63" s="97"/>
      <c r="AA63" s="97"/>
      <c r="AB63" s="97"/>
      <c r="AC63" s="7"/>
      <c r="AD63" s="96"/>
      <c r="AE63" s="97"/>
      <c r="AF63" s="97"/>
      <c r="AG63" s="97"/>
      <c r="AH63" s="97"/>
    </row>
    <row r="64" spans="1:34" s="1" customFormat="1" ht="15" customHeight="1">
      <c r="A64" s="15"/>
      <c r="B64" s="109">
        <v>2</v>
      </c>
      <c r="C64" s="109"/>
      <c r="D64" s="110" t="s">
        <v>118</v>
      </c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7"/>
      <c r="R64" s="96"/>
      <c r="S64" s="97"/>
      <c r="T64" s="97"/>
      <c r="U64" s="97"/>
      <c r="V64" s="97"/>
      <c r="W64" s="7"/>
      <c r="X64" s="96"/>
      <c r="Y64" s="97"/>
      <c r="Z64" s="97"/>
      <c r="AA64" s="97"/>
      <c r="AB64" s="97"/>
      <c r="AC64" s="7"/>
      <c r="AD64" s="96"/>
      <c r="AE64" s="97"/>
      <c r="AF64" s="97"/>
      <c r="AG64" s="97"/>
      <c r="AH64" s="97"/>
    </row>
    <row r="65" spans="1:36" s="1" customFormat="1" ht="15" customHeight="1">
      <c r="A65" s="15"/>
      <c r="B65" s="109"/>
      <c r="C65" s="109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7"/>
      <c r="R65" s="96"/>
      <c r="S65" s="97"/>
      <c r="T65" s="97"/>
      <c r="U65" s="97"/>
      <c r="V65" s="97"/>
      <c r="W65" s="7"/>
      <c r="X65" s="96"/>
      <c r="Y65" s="97"/>
      <c r="Z65" s="97"/>
      <c r="AA65" s="97"/>
      <c r="AB65" s="97"/>
      <c r="AC65" s="7"/>
      <c r="AD65" s="96"/>
      <c r="AE65" s="97"/>
      <c r="AF65" s="97"/>
      <c r="AG65" s="97"/>
      <c r="AH65" s="97"/>
    </row>
    <row r="66" spans="1:36" s="1" customFormat="1" ht="15" customHeight="1">
      <c r="A66" s="15"/>
      <c r="B66" s="16"/>
      <c r="C66" s="16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7"/>
      <c r="R66" s="96"/>
      <c r="S66" s="97"/>
      <c r="T66" s="97"/>
      <c r="U66" s="97"/>
      <c r="V66" s="97"/>
      <c r="W66" s="7"/>
      <c r="X66" s="96"/>
      <c r="Y66" s="97"/>
      <c r="Z66" s="97"/>
      <c r="AA66" s="97"/>
      <c r="AB66" s="97"/>
      <c r="AC66" s="7"/>
      <c r="AD66" s="96"/>
      <c r="AE66" s="97"/>
      <c r="AF66" s="97"/>
      <c r="AG66" s="97"/>
      <c r="AH66" s="97"/>
    </row>
    <row r="67" spans="1:36" s="1" customFormat="1" ht="15" customHeight="1">
      <c r="A67" s="15"/>
      <c r="B67" s="5" t="s">
        <v>119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7"/>
      <c r="R67" s="96"/>
      <c r="S67" s="97"/>
      <c r="T67" s="97"/>
      <c r="U67" s="97"/>
      <c r="V67" s="97"/>
      <c r="W67" s="7"/>
      <c r="X67" s="96"/>
      <c r="Y67" s="97"/>
      <c r="Z67" s="97"/>
      <c r="AA67" s="97"/>
      <c r="AB67" s="97"/>
      <c r="AC67" s="7"/>
      <c r="AD67" s="96"/>
      <c r="AE67" s="97"/>
      <c r="AF67" s="97"/>
      <c r="AG67" s="97"/>
      <c r="AH67" s="97"/>
    </row>
    <row r="68" spans="1:36" s="1" customFormat="1" ht="15" customHeight="1">
      <c r="A68" s="1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7"/>
      <c r="R68" s="96"/>
      <c r="S68" s="97"/>
      <c r="T68" s="97"/>
      <c r="U68" s="97"/>
      <c r="V68" s="97"/>
      <c r="W68" s="7"/>
      <c r="X68" s="96"/>
      <c r="Y68" s="97"/>
      <c r="Z68" s="97"/>
      <c r="AA68" s="97"/>
      <c r="AB68" s="97"/>
      <c r="AC68" s="7"/>
      <c r="AD68" s="96"/>
      <c r="AE68" s="97"/>
      <c r="AF68" s="97"/>
      <c r="AG68" s="97"/>
      <c r="AH68" s="97"/>
    </row>
    <row r="69" spans="1:36" s="1" customFormat="1" ht="15" customHeight="1">
      <c r="A69" s="15"/>
      <c r="B69" s="106" t="s">
        <v>104</v>
      </c>
      <c r="C69" s="106"/>
      <c r="D69" s="107" t="s">
        <v>120</v>
      </c>
      <c r="E69" s="107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8"/>
      <c r="Q69" s="6" t="s">
        <v>71</v>
      </c>
      <c r="R69" s="99"/>
      <c r="S69" s="103"/>
      <c r="T69" s="103"/>
      <c r="U69" s="103"/>
      <c r="V69" s="103"/>
      <c r="W69" s="6" t="s">
        <v>71</v>
      </c>
      <c r="X69" s="99"/>
      <c r="Y69" s="103"/>
      <c r="Z69" s="103"/>
      <c r="AA69" s="103"/>
      <c r="AB69" s="103"/>
      <c r="AC69" s="6" t="s">
        <v>71</v>
      </c>
      <c r="AD69" s="99">
        <f>IF(R69&gt;50000,50000,R69)</f>
        <v>0</v>
      </c>
      <c r="AE69" s="103"/>
      <c r="AF69" s="103"/>
      <c r="AG69" s="103"/>
      <c r="AH69" s="103"/>
    </row>
    <row r="70" spans="1:36" s="1" customFormat="1" ht="19.5" customHeight="1">
      <c r="A70" s="15"/>
      <c r="B70" s="106"/>
      <c r="C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8"/>
      <c r="Q70" s="6" t="s">
        <v>71</v>
      </c>
      <c r="R70" s="99"/>
      <c r="S70" s="103"/>
      <c r="T70" s="103"/>
      <c r="U70" s="103"/>
      <c r="V70" s="103"/>
      <c r="W70" s="6" t="s">
        <v>71</v>
      </c>
      <c r="X70" s="99"/>
      <c r="Y70" s="103"/>
      <c r="Z70" s="103"/>
      <c r="AA70" s="103"/>
      <c r="AB70" s="103"/>
      <c r="AC70" s="6" t="s">
        <v>71</v>
      </c>
      <c r="AD70" s="99"/>
      <c r="AE70" s="103"/>
      <c r="AF70" s="103"/>
      <c r="AG70" s="103"/>
      <c r="AH70" s="103"/>
    </row>
    <row r="71" spans="1:36" s="1" customFormat="1" ht="15" customHeight="1">
      <c r="A71" s="15"/>
      <c r="B71" s="5" t="s">
        <v>121</v>
      </c>
      <c r="C71" s="17" t="s">
        <v>122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9"/>
      <c r="Q71" s="6" t="s">
        <v>71</v>
      </c>
      <c r="R71" s="99"/>
      <c r="S71" s="103"/>
      <c r="T71" s="103"/>
      <c r="U71" s="103"/>
      <c r="V71" s="103"/>
      <c r="W71" s="6" t="s">
        <v>71</v>
      </c>
      <c r="X71" s="99"/>
      <c r="Y71" s="103"/>
      <c r="Z71" s="103"/>
      <c r="AA71" s="103"/>
      <c r="AB71" s="103"/>
      <c r="AC71" s="6" t="s">
        <v>71</v>
      </c>
      <c r="AD71" s="99"/>
      <c r="AE71" s="103"/>
      <c r="AF71" s="103"/>
      <c r="AG71" s="103"/>
      <c r="AH71" s="103"/>
    </row>
    <row r="72" spans="1:36" s="1" customFormat="1" ht="15" customHeight="1">
      <c r="A72" s="15"/>
      <c r="B72" s="106" t="s">
        <v>104</v>
      </c>
      <c r="C72" s="106"/>
      <c r="D72" s="107" t="s">
        <v>18</v>
      </c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8"/>
      <c r="Q72" s="6" t="s">
        <v>71</v>
      </c>
      <c r="R72" s="99">
        <f>[1]SEARCH!S50</f>
        <v>0</v>
      </c>
      <c r="S72" s="103"/>
      <c r="T72" s="103"/>
      <c r="U72" s="103"/>
      <c r="V72" s="103"/>
      <c r="W72" s="6" t="s">
        <v>71</v>
      </c>
      <c r="X72" s="99">
        <f>R72</f>
        <v>0</v>
      </c>
      <c r="Y72" s="103"/>
      <c r="Z72" s="103"/>
      <c r="AA72" s="103"/>
      <c r="AB72" s="103"/>
      <c r="AC72" s="6" t="s">
        <v>71</v>
      </c>
      <c r="AD72" s="99"/>
      <c r="AE72" s="103"/>
      <c r="AF72" s="103"/>
      <c r="AG72" s="103"/>
      <c r="AH72" s="103"/>
    </row>
    <row r="73" spans="1:36" s="1" customFormat="1" ht="15" customHeight="1">
      <c r="A73" s="15"/>
      <c r="B73" s="106" t="s">
        <v>105</v>
      </c>
      <c r="C73" s="106"/>
      <c r="D73" s="107" t="s">
        <v>123</v>
      </c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8"/>
      <c r="Q73" s="6" t="s">
        <v>71</v>
      </c>
      <c r="R73" s="99">
        <f>[1]SEARCH!S51</f>
        <v>0</v>
      </c>
      <c r="S73" s="103"/>
      <c r="T73" s="103"/>
      <c r="U73" s="103"/>
      <c r="V73" s="103"/>
      <c r="W73" s="6" t="s">
        <v>71</v>
      </c>
      <c r="X73" s="99">
        <f>R73</f>
        <v>0</v>
      </c>
      <c r="Y73" s="103"/>
      <c r="Z73" s="103"/>
      <c r="AA73" s="103"/>
      <c r="AB73" s="103"/>
      <c r="AC73" s="6" t="s">
        <v>71</v>
      </c>
      <c r="AD73" s="99">
        <f>IF(SUM(X72:AB73)&gt;50000,50000,SUM(X72:AB73))</f>
        <v>0</v>
      </c>
      <c r="AE73" s="103"/>
      <c r="AF73" s="103"/>
      <c r="AG73" s="103"/>
      <c r="AH73" s="103"/>
    </row>
    <row r="74" spans="1:36" s="1" customFormat="1" ht="15" customHeight="1">
      <c r="A74" s="1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7"/>
      <c r="R74" s="96"/>
      <c r="S74" s="97"/>
      <c r="T74" s="97"/>
      <c r="U74" s="97"/>
      <c r="V74" s="97"/>
      <c r="W74" s="7"/>
      <c r="X74" s="96"/>
      <c r="Y74" s="97"/>
      <c r="Z74" s="97"/>
      <c r="AA74" s="97"/>
      <c r="AB74" s="97"/>
      <c r="AC74" s="7"/>
      <c r="AD74" s="96"/>
      <c r="AE74" s="97"/>
      <c r="AF74" s="97"/>
      <c r="AG74" s="97"/>
      <c r="AH74" s="97"/>
    </row>
    <row r="75" spans="1:36" s="1" customFormat="1" ht="15" customHeight="1">
      <c r="A75" s="2" t="s">
        <v>124</v>
      </c>
      <c r="B75" s="95" t="s">
        <v>125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7"/>
      <c r="R75" s="96"/>
      <c r="S75" s="97"/>
      <c r="T75" s="97"/>
      <c r="U75" s="97"/>
      <c r="V75" s="97"/>
      <c r="W75" s="7"/>
      <c r="X75" s="96"/>
      <c r="Y75" s="97"/>
      <c r="Z75" s="97"/>
      <c r="AA75" s="97"/>
      <c r="AB75" s="97"/>
      <c r="AC75" s="6" t="s">
        <v>71</v>
      </c>
      <c r="AD75" s="96">
        <f>SUM(AD60:AH73)</f>
        <v>0</v>
      </c>
      <c r="AE75" s="97"/>
      <c r="AF75" s="97"/>
      <c r="AG75" s="97"/>
      <c r="AH75" s="97"/>
    </row>
    <row r="76" spans="1:36" s="1" customFormat="1" ht="15" customHeight="1">
      <c r="A76" s="2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7"/>
      <c r="R76" s="96"/>
      <c r="S76" s="97"/>
      <c r="T76" s="97"/>
      <c r="U76" s="97"/>
      <c r="V76" s="97"/>
      <c r="W76" s="7"/>
      <c r="X76" s="96"/>
      <c r="Y76" s="97"/>
      <c r="Z76" s="97"/>
      <c r="AA76" s="97"/>
      <c r="AB76" s="97"/>
      <c r="AC76" s="7"/>
      <c r="AD76" s="96"/>
      <c r="AE76" s="97"/>
      <c r="AF76" s="97"/>
      <c r="AG76" s="97"/>
      <c r="AH76" s="97"/>
    </row>
    <row r="77" spans="1:36" s="1" customFormat="1" ht="15" customHeight="1">
      <c r="A77" s="2" t="s">
        <v>126</v>
      </c>
      <c r="B77" s="95" t="s">
        <v>127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7"/>
      <c r="R77" s="96"/>
      <c r="S77" s="97"/>
      <c r="T77" s="97"/>
      <c r="U77" s="97"/>
      <c r="V77" s="97"/>
      <c r="W77" s="7"/>
      <c r="X77" s="96"/>
      <c r="Y77" s="97"/>
      <c r="Z77" s="97"/>
      <c r="AA77" s="97"/>
      <c r="AB77" s="97"/>
      <c r="AC77" s="6" t="s">
        <v>71</v>
      </c>
      <c r="AD77" s="96">
        <f>AD46-AD75</f>
        <v>0</v>
      </c>
      <c r="AE77" s="97"/>
      <c r="AF77" s="97"/>
      <c r="AG77" s="97"/>
      <c r="AH77" s="97"/>
      <c r="AJ77" s="20">
        <f>IF([2]Sheet2!A2=1,IF(AD77&gt;250000,IF((AD77-250000)*0.1&gt;2000,2000,(AD77-250000)*0.1),0))+IF([2]Sheet2!A2=2,IF(AD77&gt;300000,IF((AD77-300000)*0.1&gt;2000,2000,(AD77-300000)*0.1),0))</f>
        <v>0</v>
      </c>
    </row>
    <row r="78" spans="1:36" s="1" customFormat="1" ht="15" customHeight="1">
      <c r="A78" s="2" t="s">
        <v>128</v>
      </c>
      <c r="B78" s="5" t="s">
        <v>129</v>
      </c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7"/>
      <c r="R78" s="96"/>
      <c r="S78" s="97"/>
      <c r="T78" s="97"/>
      <c r="U78" s="97"/>
      <c r="V78" s="97"/>
      <c r="W78" s="7"/>
      <c r="X78" s="96"/>
      <c r="Y78" s="97"/>
      <c r="Z78" s="97"/>
      <c r="AA78" s="97"/>
      <c r="AB78" s="97"/>
      <c r="AC78" s="6" t="s">
        <v>71</v>
      </c>
      <c r="AD78" s="104">
        <f>calculate_tax(AD77)</f>
        <v>0</v>
      </c>
      <c r="AE78" s="104"/>
      <c r="AF78" s="104"/>
      <c r="AG78" s="104"/>
      <c r="AH78" s="105"/>
    </row>
    <row r="79" spans="1:36" s="1" customFormat="1" ht="15" customHeight="1">
      <c r="A79" s="2" t="s">
        <v>130</v>
      </c>
      <c r="B79" s="5" t="s">
        <v>131</v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7"/>
      <c r="R79" s="96"/>
      <c r="S79" s="97"/>
      <c r="T79" s="97"/>
      <c r="U79" s="97"/>
      <c r="V79" s="97"/>
      <c r="W79" s="7"/>
      <c r="X79" s="96"/>
      <c r="Y79" s="97"/>
      <c r="Z79" s="97"/>
      <c r="AA79" s="97"/>
      <c r="AB79" s="97"/>
      <c r="AC79" s="6" t="s">
        <v>71</v>
      </c>
      <c r="AD79" s="96">
        <f>ROUND(AD78*3/100,0)</f>
        <v>0</v>
      </c>
      <c r="AE79" s="97"/>
      <c r="AF79" s="97"/>
      <c r="AG79" s="97"/>
      <c r="AH79" s="97"/>
    </row>
    <row r="80" spans="1:36" s="1" customFormat="1" ht="15" customHeight="1">
      <c r="A80" s="2" t="s">
        <v>132</v>
      </c>
      <c r="B80" s="5" t="s">
        <v>133</v>
      </c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7"/>
      <c r="R80" s="96"/>
      <c r="S80" s="97"/>
      <c r="T80" s="97"/>
      <c r="U80" s="97"/>
      <c r="V80" s="97"/>
      <c r="W80" s="7"/>
      <c r="X80" s="96"/>
      <c r="Y80" s="97"/>
      <c r="Z80" s="97"/>
      <c r="AA80" s="97"/>
      <c r="AB80" s="97"/>
      <c r="AC80" s="6" t="s">
        <v>71</v>
      </c>
      <c r="AD80" s="96">
        <f>AD78+AD79</f>
        <v>0</v>
      </c>
      <c r="AE80" s="97"/>
      <c r="AF80" s="97"/>
      <c r="AG80" s="97"/>
      <c r="AH80" s="97"/>
    </row>
    <row r="81" spans="1:34" s="1" customFormat="1" ht="15" customHeight="1">
      <c r="A81" s="2" t="s">
        <v>134</v>
      </c>
      <c r="B81" s="102" t="s">
        <v>135</v>
      </c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7"/>
      <c r="R81" s="96"/>
      <c r="S81" s="97"/>
      <c r="T81" s="97"/>
      <c r="U81" s="97"/>
      <c r="V81" s="97"/>
      <c r="W81" s="7"/>
      <c r="X81" s="96"/>
      <c r="Y81" s="97"/>
      <c r="Z81" s="97"/>
      <c r="AA81" s="97"/>
      <c r="AB81" s="97"/>
      <c r="AC81" s="6" t="s">
        <v>71</v>
      </c>
      <c r="AD81" s="99"/>
      <c r="AE81" s="103"/>
      <c r="AF81" s="103"/>
      <c r="AG81" s="103"/>
      <c r="AH81" s="103"/>
    </row>
    <row r="82" spans="1:34" s="1" customFormat="1" ht="15" customHeight="1">
      <c r="A82" s="2" t="s">
        <v>136</v>
      </c>
      <c r="B82" s="95" t="s">
        <v>137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7"/>
      <c r="R82" s="96"/>
      <c r="S82" s="97"/>
      <c r="T82" s="97"/>
      <c r="U82" s="97"/>
      <c r="V82" s="97"/>
      <c r="W82" s="7"/>
      <c r="X82" s="96"/>
      <c r="Y82" s="97"/>
      <c r="Z82" s="97"/>
      <c r="AA82" s="97"/>
      <c r="AB82" s="97"/>
      <c r="AC82" s="6" t="s">
        <v>71</v>
      </c>
      <c r="AD82" s="96">
        <f>AD80-AD81</f>
        <v>0</v>
      </c>
      <c r="AE82" s="97"/>
      <c r="AF82" s="97"/>
      <c r="AG82" s="97"/>
      <c r="AH82" s="97"/>
    </row>
    <row r="83" spans="1:34" s="1" customFormat="1" ht="15" customHeight="1">
      <c r="A83" s="2" t="s">
        <v>138</v>
      </c>
      <c r="B83" s="5" t="s">
        <v>139</v>
      </c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7"/>
      <c r="R83" s="21"/>
      <c r="S83" s="21"/>
      <c r="T83" s="21"/>
      <c r="U83" s="21"/>
      <c r="V83" s="21"/>
      <c r="W83" s="7"/>
      <c r="X83" s="21"/>
      <c r="Y83" s="21"/>
      <c r="Z83" s="21"/>
      <c r="AA83" s="21"/>
      <c r="AB83" s="21"/>
      <c r="AC83" s="6" t="s">
        <v>71</v>
      </c>
      <c r="AD83" s="98"/>
      <c r="AE83" s="98"/>
      <c r="AF83" s="98"/>
      <c r="AG83" s="98"/>
      <c r="AH83" s="99"/>
    </row>
    <row r="84" spans="1:34" s="1" customFormat="1" ht="15" customHeight="1">
      <c r="A84" s="2" t="s">
        <v>140</v>
      </c>
      <c r="B84" s="5" t="s">
        <v>141</v>
      </c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7"/>
      <c r="R84" s="21"/>
      <c r="S84" s="21"/>
      <c r="T84" s="21"/>
      <c r="U84" s="21"/>
      <c r="V84" s="21"/>
      <c r="W84" s="7"/>
      <c r="X84" s="21"/>
      <c r="Y84" s="21"/>
      <c r="Z84" s="21"/>
      <c r="AA84" s="21"/>
      <c r="AB84" s="21"/>
      <c r="AC84" s="6" t="s">
        <v>71</v>
      </c>
      <c r="AD84" s="100">
        <f>AD82-AD83</f>
        <v>0</v>
      </c>
      <c r="AE84" s="101"/>
      <c r="AF84" s="101"/>
      <c r="AG84" s="101"/>
      <c r="AH84" s="96"/>
    </row>
    <row r="85" spans="1:34" s="1" customFormat="1" ht="5.0999999999999996" customHeight="1">
      <c r="A85" s="22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11"/>
      <c r="R85" s="23"/>
      <c r="S85" s="23"/>
      <c r="T85" s="23"/>
      <c r="U85" s="23"/>
      <c r="V85" s="23"/>
      <c r="W85" s="11"/>
      <c r="X85" s="23"/>
      <c r="Y85" s="23"/>
      <c r="Z85" s="23"/>
      <c r="AA85" s="23"/>
      <c r="AB85" s="23"/>
      <c r="AC85" s="11"/>
      <c r="AD85" s="23"/>
      <c r="AE85" s="23"/>
      <c r="AF85" s="23"/>
      <c r="AG85" s="23"/>
      <c r="AH85" s="24"/>
    </row>
    <row r="86" spans="1:34" s="1" customFormat="1" ht="15" customHeight="1">
      <c r="A86" s="87" t="s">
        <v>142</v>
      </c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  <c r="AA86" s="87"/>
      <c r="AB86" s="87"/>
      <c r="AC86" s="87"/>
      <c r="AD86" s="87"/>
      <c r="AE86" s="87"/>
      <c r="AF86" s="87"/>
      <c r="AG86" s="87"/>
      <c r="AH86" s="87"/>
    </row>
    <row r="87" spans="1:34" s="1" customFormat="1" ht="15" customHeight="1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7"/>
      <c r="AF87" s="87"/>
      <c r="AG87" s="87"/>
      <c r="AH87" s="87"/>
    </row>
    <row r="88" spans="1:34" s="1" customFormat="1" ht="15" customHeight="1">
      <c r="A88" s="25" t="s">
        <v>143</v>
      </c>
      <c r="B88" s="88" t="s">
        <v>144</v>
      </c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9" t="s">
        <v>145</v>
      </c>
      <c r="R88" s="89"/>
      <c r="S88" s="89"/>
      <c r="T88" s="89"/>
      <c r="U88" s="89"/>
      <c r="V88" s="88" t="s">
        <v>146</v>
      </c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90"/>
    </row>
    <row r="89" spans="1:34" s="1" customFormat="1" ht="15" customHeight="1">
      <c r="A89" s="26" t="s">
        <v>147</v>
      </c>
      <c r="B89" s="27"/>
      <c r="C89" s="27"/>
      <c r="D89" s="27"/>
      <c r="E89" s="27"/>
      <c r="F89" s="27"/>
      <c r="G89" s="27"/>
      <c r="H89" s="91" t="s">
        <v>148</v>
      </c>
      <c r="I89" s="91"/>
      <c r="J89" s="91"/>
      <c r="K89" s="91"/>
      <c r="L89" s="91"/>
      <c r="M89" s="91"/>
      <c r="N89" s="91"/>
      <c r="O89" s="91"/>
      <c r="P89" s="91"/>
      <c r="Q89" s="92" t="s">
        <v>149</v>
      </c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3">
        <f>AD83</f>
        <v>0</v>
      </c>
      <c r="AE89" s="91"/>
      <c r="AF89" s="91"/>
      <c r="AG89" s="91"/>
      <c r="AH89" s="94"/>
    </row>
    <row r="90" spans="1:34" s="1" customFormat="1" ht="15" customHeight="1">
      <c r="A90" s="15" t="s">
        <v>150</v>
      </c>
      <c r="B90" s="76">
        <f>[3]!SPELLNUMBER(AD83)</f>
        <v>0</v>
      </c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5" t="s">
        <v>151</v>
      </c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28"/>
    </row>
    <row r="91" spans="1:34" s="1" customFormat="1" ht="15" customHeight="1">
      <c r="A91" s="15" t="s">
        <v>152</v>
      </c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28"/>
    </row>
    <row r="92" spans="1:34" s="1" customFormat="1" ht="15" customHeight="1">
      <c r="A92" s="22" t="s">
        <v>153</v>
      </c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10"/>
    </row>
    <row r="93" spans="1:34" s="1" customFormat="1" ht="15" customHeight="1">
      <c r="A93" s="77" t="s">
        <v>154</v>
      </c>
      <c r="B93" s="78"/>
      <c r="C93" s="78"/>
      <c r="D93" s="79"/>
      <c r="E93" s="80" t="s">
        <v>155</v>
      </c>
      <c r="F93" s="81"/>
      <c r="G93" s="81"/>
      <c r="H93" s="81"/>
      <c r="I93" s="81"/>
      <c r="J93" s="81"/>
      <c r="K93" s="81"/>
      <c r="L93" s="82"/>
      <c r="M93" s="83"/>
      <c r="N93" s="84"/>
      <c r="O93" s="84"/>
      <c r="P93" s="84"/>
      <c r="Q93" s="84"/>
      <c r="R93" s="84"/>
      <c r="S93" s="84"/>
      <c r="T93" s="84"/>
      <c r="U93" s="84"/>
      <c r="V93" s="84"/>
      <c r="W93" s="84"/>
      <c r="X93" s="84"/>
      <c r="Y93" s="84"/>
      <c r="Z93" s="84"/>
      <c r="AA93" s="13"/>
      <c r="AB93" s="13"/>
      <c r="AC93" s="13"/>
      <c r="AD93" s="13"/>
      <c r="AE93" s="13"/>
      <c r="AF93" s="13"/>
      <c r="AG93" s="13"/>
      <c r="AH93" s="14"/>
    </row>
    <row r="94" spans="1:34" s="1" customFormat="1" ht="15" customHeight="1">
      <c r="A94" s="69" t="s">
        <v>156</v>
      </c>
      <c r="B94" s="69"/>
      <c r="C94" s="69"/>
      <c r="D94" s="69"/>
      <c r="E94" s="80" t="s">
        <v>157</v>
      </c>
      <c r="F94" s="81"/>
      <c r="G94" s="81"/>
      <c r="H94" s="81"/>
      <c r="I94" s="81"/>
      <c r="J94" s="81"/>
      <c r="K94" s="81"/>
      <c r="L94" s="82"/>
      <c r="M94" s="85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/>
      <c r="Y94" s="86"/>
      <c r="Z94" s="86"/>
      <c r="AA94" s="5"/>
      <c r="AB94" s="5"/>
      <c r="AC94" s="5"/>
      <c r="AD94" s="5"/>
      <c r="AE94" s="5"/>
      <c r="AF94" s="5"/>
      <c r="AG94" s="5"/>
      <c r="AH94" s="28"/>
    </row>
    <row r="95" spans="1:34" s="1" customFormat="1" ht="15" customHeight="1">
      <c r="A95" s="69" t="s">
        <v>158</v>
      </c>
      <c r="B95" s="69"/>
      <c r="C95" s="69"/>
      <c r="D95" s="69"/>
      <c r="E95" s="70" t="s">
        <v>159</v>
      </c>
      <c r="F95" s="71"/>
      <c r="G95" s="71"/>
      <c r="H95" s="71"/>
      <c r="I95" s="71"/>
      <c r="J95" s="71"/>
      <c r="K95" s="71"/>
      <c r="L95" s="72"/>
      <c r="M95" s="73" t="s">
        <v>160</v>
      </c>
      <c r="N95" s="73"/>
      <c r="O95" s="73"/>
      <c r="P95" s="73"/>
      <c r="Q95" s="74" t="s">
        <v>144</v>
      </c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</row>
    <row r="96" spans="1:34" s="1" customFormat="1" ht="36.75" customHeight="1">
      <c r="A96" s="29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</row>
    <row r="97" spans="1:67" s="1" customFormat="1" ht="15" customHeight="1">
      <c r="A97" s="31" t="s">
        <v>161</v>
      </c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</row>
    <row r="98" spans="1:67" s="1" customFormat="1" ht="20.100000000000001" customHeight="1">
      <c r="A98" s="32" t="s">
        <v>67</v>
      </c>
      <c r="B98" s="75" t="s">
        <v>162</v>
      </c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</row>
    <row r="99" spans="1:67" s="1" customFormat="1" ht="20.100000000000001" customHeight="1">
      <c r="A99" s="32"/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</row>
    <row r="100" spans="1:67" s="1" customFormat="1" ht="27.95" customHeight="1">
      <c r="A100" s="32" t="s">
        <v>77</v>
      </c>
      <c r="B100" s="75" t="s">
        <v>163</v>
      </c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</row>
    <row r="101" spans="1:67" s="1" customFormat="1" ht="15" customHeight="1">
      <c r="A101" s="31" t="s">
        <v>82</v>
      </c>
      <c r="B101" s="33" t="s">
        <v>164</v>
      </c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</row>
    <row r="102" spans="1:67" s="1" customFormat="1" ht="15" customHeight="1">
      <c r="A102" s="31" t="s">
        <v>84</v>
      </c>
      <c r="B102" s="33" t="s">
        <v>165</v>
      </c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</row>
    <row r="103" spans="1:67" s="1" customFormat="1" ht="15" customHeight="1">
      <c r="A103" s="31"/>
      <c r="B103" s="33" t="s">
        <v>166</v>
      </c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</row>
    <row r="104" spans="1:67" s="1" customFormat="1" ht="15" customHeight="1">
      <c r="A104" s="31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</row>
    <row r="105" spans="1:67" s="1" customFormat="1" ht="15" customHeight="1">
      <c r="A105" s="29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</row>
    <row r="106" spans="1:67" s="1" customFormat="1" ht="15" customHeight="1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</row>
    <row r="107" spans="1:67" s="1" customFormat="1" ht="15" customHeight="1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</row>
    <row r="108" spans="1:67" s="1" customFormat="1" ht="15" customHeight="1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</row>
    <row r="109" spans="1:67" s="1" customFormat="1" ht="15" customHeight="1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</row>
    <row r="110" spans="1:67" s="1" customFormat="1" ht="15" customHeight="1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</row>
    <row r="111" spans="1:67" s="1" customFormat="1" ht="15" customHeight="1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</row>
    <row r="112" spans="1:67" s="1" customFormat="1" ht="15" customHeight="1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</row>
    <row r="113" spans="1:67" s="1" customFormat="1" ht="15" customHeight="1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</row>
    <row r="114" spans="1:67" s="1" customFormat="1" ht="15" customHeight="1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</row>
    <row r="115" spans="1:67" s="1" customFormat="1" ht="15" customHeight="1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</row>
    <row r="116" spans="1:67" s="1" customFormat="1" ht="15" customHeight="1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</row>
    <row r="117" spans="1:67" s="1" customFormat="1" ht="1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</row>
    <row r="118" spans="1:67" s="1" customFormat="1" ht="15" customHeight="1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</row>
    <row r="119" spans="1:67" s="1" customFormat="1" ht="1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</row>
    <row r="120" spans="1:67" s="1" customFormat="1" ht="1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</row>
    <row r="121" spans="1:67" s="1" customFormat="1" ht="1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</row>
    <row r="122" spans="1:67" s="1" customFormat="1" ht="1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</row>
    <row r="123" spans="1:67" s="1" customFormat="1" ht="1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</row>
    <row r="124" spans="1:67" s="1" customFormat="1" ht="1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</row>
    <row r="125" spans="1:67" s="1" customFormat="1" ht="1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</row>
    <row r="126" spans="1:67" s="1" customFormat="1" ht="15" customHeight="1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</row>
    <row r="127" spans="1:67" s="1" customFormat="1" ht="15" customHeight="1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</row>
    <row r="128" spans="1:67" s="1" customFormat="1" ht="15" customHeight="1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</row>
    <row r="129" spans="1:67" s="1" customFormat="1" ht="15" customHeight="1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</row>
    <row r="130" spans="1:67" s="1" customFormat="1" ht="15" customHeight="1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</row>
    <row r="131" spans="1:67" s="1" customFormat="1" ht="15" customHeight="1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</row>
    <row r="132" spans="1:67" s="1" customFormat="1" ht="15" customHeight="1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</row>
    <row r="133" spans="1:67" s="1" customFormat="1" ht="15" customHeight="1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</row>
    <row r="134" spans="1:67" s="1" customFormat="1" ht="15" customHeight="1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</row>
    <row r="135" spans="1:67" s="1" customFormat="1" ht="15" customHeight="1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</row>
    <row r="136" spans="1:67" s="1" customFormat="1" ht="15" customHeight="1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</row>
    <row r="137" spans="1:67" s="1" customFormat="1" ht="15" customHeight="1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</row>
    <row r="138" spans="1:67" s="1" customFormat="1" ht="15" customHeight="1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</row>
    <row r="139" spans="1:67" s="1" customFormat="1" ht="15" customHeight="1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</row>
    <row r="140" spans="1:67" s="1" customFormat="1" ht="15" customHeight="1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</row>
    <row r="141" spans="1:67" s="1" customFormat="1" ht="15" customHeight="1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</row>
    <row r="142" spans="1:67" s="1" customFormat="1" ht="15" customHeight="1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</row>
    <row r="143" spans="1:67" s="1" customFormat="1" ht="15" customHeight="1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</row>
    <row r="144" spans="1:67" s="1" customFormat="1" ht="15" customHeight="1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</row>
    <row r="145" spans="1:67" s="1" customFormat="1" ht="15" customHeight="1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</row>
    <row r="146" spans="1:67" s="1" customFormat="1" ht="15" customHeight="1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</row>
    <row r="147" spans="1:67" s="1" customFormat="1" ht="15" customHeight="1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</row>
    <row r="148" spans="1:67" s="1" customFormat="1" ht="15" customHeight="1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</row>
    <row r="149" spans="1:67" s="1" customFormat="1" ht="15" customHeight="1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</row>
    <row r="150" spans="1:67" s="1" customFormat="1" ht="15" customHeight="1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</row>
    <row r="151" spans="1:67" s="1" customFormat="1" ht="15" customHeight="1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</row>
    <row r="152" spans="1:67" s="1" customFormat="1" ht="15" customHeight="1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</row>
    <row r="153" spans="1:67" s="1" customFormat="1" ht="15" customHeight="1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</row>
    <row r="154" spans="1:67" s="1" customFormat="1" ht="15" customHeight="1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</row>
    <row r="155" spans="1:67" s="1" customFormat="1" ht="15" customHeight="1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</row>
    <row r="156" spans="1:67" s="1" customFormat="1" ht="15" customHeight="1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</row>
    <row r="157" spans="1:67" s="1" customFormat="1" ht="15" customHeight="1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</row>
    <row r="158" spans="1:67" s="1" customFormat="1" ht="15" customHeight="1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</row>
    <row r="159" spans="1:67" s="1" customFormat="1" ht="15" customHeight="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</row>
    <row r="160" spans="1:67" s="1" customFormat="1" ht="15" customHeight="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</row>
    <row r="161" spans="1:67" s="1" customFormat="1" ht="15" customHeight="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</row>
    <row r="162" spans="1:67" s="1" customFormat="1" ht="15" customHeight="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</row>
    <row r="163" spans="1:67" s="1" customFormat="1" ht="15" customHeight="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</row>
    <row r="164" spans="1:67" s="1" customFormat="1" ht="15" customHeight="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</row>
    <row r="165" spans="1:67" s="1" customFormat="1" ht="15" customHeight="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</row>
    <row r="166" spans="1:67" s="1" customFormat="1" ht="15" customHeight="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</row>
    <row r="167" spans="1:67" s="1" customFormat="1" ht="15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</row>
    <row r="168" spans="1:67" s="1" customFormat="1" ht="15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</row>
    <row r="169" spans="1:67" s="1" customFormat="1" ht="15" customHeight="1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</row>
    <row r="170" spans="1:67" s="1" customFormat="1" ht="15" customHeight="1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</row>
    <row r="171" spans="1:67" s="1" customFormat="1" ht="15" customHeight="1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</row>
    <row r="172" spans="1:67" s="1" customFormat="1" ht="15" customHeight="1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</row>
    <row r="173" spans="1:67" s="1" customFormat="1" ht="15" customHeight="1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</row>
    <row r="174" spans="1:67" s="1" customFormat="1" ht="15" customHeight="1">
      <c r="A174" s="35"/>
    </row>
    <row r="175" spans="1:67" s="1" customFormat="1" ht="15" customHeight="1">
      <c r="A175" s="35"/>
    </row>
    <row r="176" spans="1:67" s="1" customFormat="1" ht="15" customHeight="1">
      <c r="A176" s="35"/>
    </row>
    <row r="177" spans="1:1" s="1" customFormat="1" ht="15" customHeight="1">
      <c r="A177" s="35"/>
    </row>
    <row r="178" spans="1:1" s="1" customFormat="1" ht="15" customHeight="1">
      <c r="A178" s="35"/>
    </row>
    <row r="179" spans="1:1" s="1" customFormat="1" ht="15" customHeight="1">
      <c r="A179" s="35"/>
    </row>
    <row r="180" spans="1:1" s="1" customFormat="1" ht="15" customHeight="1">
      <c r="A180" s="35"/>
    </row>
    <row r="181" spans="1:1" s="1" customFormat="1" ht="15" customHeight="1">
      <c r="A181" s="35"/>
    </row>
    <row r="182" spans="1:1" s="1" customFormat="1" ht="15" customHeight="1">
      <c r="A182" s="35"/>
    </row>
    <row r="183" spans="1:1" s="1" customFormat="1" ht="15" customHeight="1">
      <c r="A183" s="35"/>
    </row>
    <row r="184" spans="1:1" s="1" customFormat="1" ht="15" customHeight="1">
      <c r="A184" s="35"/>
    </row>
    <row r="185" spans="1:1" s="1" customFormat="1" ht="15" customHeight="1">
      <c r="A185" s="35"/>
    </row>
    <row r="186" spans="1:1" s="1" customFormat="1" ht="15" customHeight="1">
      <c r="A186" s="35"/>
    </row>
    <row r="187" spans="1:1" s="1" customFormat="1" ht="15" customHeight="1">
      <c r="A187" s="35"/>
    </row>
    <row r="188" spans="1:1" s="1" customFormat="1" ht="15" customHeight="1">
      <c r="A188" s="35"/>
    </row>
    <row r="189" spans="1:1" s="1" customFormat="1" ht="15" customHeight="1">
      <c r="A189" s="35"/>
    </row>
    <row r="190" spans="1:1" s="1" customFormat="1" ht="15" customHeight="1">
      <c r="A190" s="35"/>
    </row>
    <row r="191" spans="1:1" s="1" customFormat="1" ht="15" customHeight="1">
      <c r="A191" s="35"/>
    </row>
    <row r="192" spans="1:1" s="1" customFormat="1" ht="15" customHeight="1">
      <c r="A192" s="35"/>
    </row>
    <row r="193" spans="1:1" s="1" customFormat="1" ht="15" customHeight="1">
      <c r="A193" s="35"/>
    </row>
    <row r="194" spans="1:1" s="1" customFormat="1" ht="15" customHeight="1">
      <c r="A194" s="35"/>
    </row>
    <row r="195" spans="1:1" s="1" customFormat="1" ht="15" customHeight="1">
      <c r="A195" s="35"/>
    </row>
    <row r="196" spans="1:1" s="1" customFormat="1" ht="15" customHeight="1">
      <c r="A196" s="35"/>
    </row>
    <row r="197" spans="1:1" s="1" customFormat="1" ht="15" customHeight="1">
      <c r="A197" s="35"/>
    </row>
    <row r="198" spans="1:1" s="1" customFormat="1" ht="15" customHeight="1">
      <c r="A198" s="35"/>
    </row>
    <row r="199" spans="1:1" s="1" customFormat="1" ht="15" customHeight="1">
      <c r="A199" s="35"/>
    </row>
    <row r="200" spans="1:1" s="1" customFormat="1" ht="15" customHeight="1">
      <c r="A200" s="35"/>
    </row>
    <row r="201" spans="1:1" s="1" customFormat="1" ht="15" customHeight="1">
      <c r="A201" s="35"/>
    </row>
    <row r="202" spans="1:1" s="1" customFormat="1" ht="15" customHeight="1">
      <c r="A202" s="35"/>
    </row>
    <row r="203" spans="1:1" s="1" customFormat="1" ht="15" customHeight="1">
      <c r="A203" s="35"/>
    </row>
    <row r="204" spans="1:1" s="1" customFormat="1" ht="15" customHeight="1">
      <c r="A204" s="35"/>
    </row>
    <row r="205" spans="1:1" s="1" customFormat="1" ht="15" customHeight="1">
      <c r="A205" s="35"/>
    </row>
    <row r="206" spans="1:1" s="1" customFormat="1" ht="15" customHeight="1">
      <c r="A206" s="35"/>
    </row>
    <row r="207" spans="1:1" s="1" customFormat="1" ht="15" customHeight="1">
      <c r="A207" s="35"/>
    </row>
    <row r="208" spans="1:1" s="1" customFormat="1" ht="15" customHeight="1">
      <c r="A208" s="35"/>
    </row>
    <row r="209" spans="1:1" s="1" customFormat="1" ht="15" customHeight="1">
      <c r="A209" s="35"/>
    </row>
    <row r="210" spans="1:1" s="1" customFormat="1" ht="15" customHeight="1">
      <c r="A210" s="35"/>
    </row>
    <row r="211" spans="1:1" s="1" customFormat="1" ht="15" customHeight="1">
      <c r="A211" s="35"/>
    </row>
    <row r="212" spans="1:1" s="1" customFormat="1" ht="15" customHeight="1">
      <c r="A212" s="35"/>
    </row>
    <row r="213" spans="1:1" s="1" customFormat="1" ht="15" customHeight="1">
      <c r="A213" s="35"/>
    </row>
    <row r="214" spans="1:1" s="1" customFormat="1" ht="15" customHeight="1">
      <c r="A214" s="35"/>
    </row>
    <row r="215" spans="1:1" s="1" customFormat="1" ht="15" customHeight="1">
      <c r="A215" s="35"/>
    </row>
    <row r="216" spans="1:1" s="1" customFormat="1" ht="15" customHeight="1">
      <c r="A216" s="35"/>
    </row>
    <row r="217" spans="1:1" s="1" customFormat="1" ht="15" customHeight="1">
      <c r="A217" s="35"/>
    </row>
    <row r="218" spans="1:1" s="1" customFormat="1" ht="15" customHeight="1">
      <c r="A218" s="35"/>
    </row>
    <row r="219" spans="1:1" s="1" customFormat="1" ht="15" customHeight="1">
      <c r="A219" s="35"/>
    </row>
    <row r="220" spans="1:1" s="1" customFormat="1" ht="15" customHeight="1">
      <c r="A220" s="35"/>
    </row>
    <row r="221" spans="1:1" s="1" customFormat="1" ht="15" customHeight="1">
      <c r="A221" s="35"/>
    </row>
    <row r="222" spans="1:1" s="1" customFormat="1" ht="15" customHeight="1">
      <c r="A222" s="35"/>
    </row>
    <row r="223" spans="1:1" s="1" customFormat="1" ht="15" customHeight="1">
      <c r="A223" s="35"/>
    </row>
    <row r="224" spans="1:1" s="1" customFormat="1" ht="15" customHeight="1">
      <c r="A224" s="35"/>
    </row>
    <row r="225" spans="1:1" s="1" customFormat="1" ht="15" customHeight="1">
      <c r="A225" s="35"/>
    </row>
    <row r="226" spans="1:1" s="1" customFormat="1" ht="15" customHeight="1">
      <c r="A226" s="35"/>
    </row>
    <row r="227" spans="1:1" s="1" customFormat="1" ht="15" customHeight="1">
      <c r="A227" s="35"/>
    </row>
    <row r="228" spans="1:1" s="1" customFormat="1" ht="15" customHeight="1">
      <c r="A228" s="35"/>
    </row>
    <row r="229" spans="1:1" s="1" customFormat="1" ht="15" customHeight="1">
      <c r="A229" s="35"/>
    </row>
    <row r="230" spans="1:1" s="1" customFormat="1" ht="15" customHeight="1">
      <c r="A230" s="35"/>
    </row>
    <row r="231" spans="1:1" s="1" customFormat="1" ht="15" customHeight="1">
      <c r="A231" s="35"/>
    </row>
    <row r="232" spans="1:1" s="1" customFormat="1" ht="15" customHeight="1">
      <c r="A232" s="35"/>
    </row>
    <row r="233" spans="1:1" s="1" customFormat="1" ht="15" customHeight="1">
      <c r="A233" s="35"/>
    </row>
    <row r="234" spans="1:1" s="1" customFormat="1" ht="15" customHeight="1">
      <c r="A234" s="35"/>
    </row>
    <row r="235" spans="1:1" s="1" customFormat="1" ht="15" customHeight="1">
      <c r="A235" s="35"/>
    </row>
    <row r="236" spans="1:1" s="1" customFormat="1" ht="15" customHeight="1">
      <c r="A236" s="35"/>
    </row>
    <row r="237" spans="1:1" s="1" customFormat="1" ht="15" customHeight="1">
      <c r="A237" s="35"/>
    </row>
    <row r="238" spans="1:1" s="1" customFormat="1" ht="15" customHeight="1">
      <c r="A238" s="35"/>
    </row>
    <row r="239" spans="1:1" s="1" customFormat="1" ht="15" customHeight="1">
      <c r="A239" s="35"/>
    </row>
    <row r="240" spans="1:1" s="1" customFormat="1" ht="15" customHeight="1">
      <c r="A240" s="35"/>
    </row>
    <row r="241" spans="1:1" s="1" customFormat="1" ht="15" customHeight="1">
      <c r="A241" s="35"/>
    </row>
    <row r="242" spans="1:1" s="1" customFormat="1" ht="15" customHeight="1">
      <c r="A242" s="35"/>
    </row>
    <row r="243" spans="1:1" s="1" customFormat="1" ht="15" customHeight="1">
      <c r="A243" s="35"/>
    </row>
    <row r="244" spans="1:1" s="1" customFormat="1" ht="15" customHeight="1">
      <c r="A244" s="35"/>
    </row>
    <row r="245" spans="1:1" s="1" customFormat="1" ht="15" customHeight="1">
      <c r="A245" s="35"/>
    </row>
    <row r="246" spans="1:1" s="1" customFormat="1" ht="15" customHeight="1">
      <c r="A246" s="35"/>
    </row>
    <row r="247" spans="1:1" s="1" customFormat="1" ht="15" customHeight="1">
      <c r="A247" s="35"/>
    </row>
    <row r="248" spans="1:1" s="1" customFormat="1" ht="15" customHeight="1">
      <c r="A248" s="35"/>
    </row>
    <row r="249" spans="1:1" s="1" customFormat="1" ht="15" customHeight="1">
      <c r="A249" s="35"/>
    </row>
    <row r="250" spans="1:1" s="1" customFormat="1" ht="15" customHeight="1">
      <c r="A250" s="35"/>
    </row>
    <row r="251" spans="1:1" s="1" customFormat="1" ht="15" customHeight="1">
      <c r="A251" s="35"/>
    </row>
    <row r="252" spans="1:1" s="1" customFormat="1" ht="15" customHeight="1">
      <c r="A252" s="35"/>
    </row>
    <row r="253" spans="1:1" s="1" customFormat="1" ht="15" customHeight="1">
      <c r="A253" s="35"/>
    </row>
    <row r="254" spans="1:1" s="1" customFormat="1" ht="15" customHeight="1">
      <c r="A254" s="35"/>
    </row>
    <row r="255" spans="1:1" s="1" customFormat="1" ht="15" customHeight="1">
      <c r="A255" s="35"/>
    </row>
    <row r="256" spans="1:1" s="1" customFormat="1" ht="15" customHeight="1">
      <c r="A256" s="35"/>
    </row>
    <row r="257" spans="1:1" s="1" customFormat="1" ht="15" customHeight="1">
      <c r="A257" s="35"/>
    </row>
    <row r="258" spans="1:1" s="1" customFormat="1" ht="15" customHeight="1">
      <c r="A258" s="35"/>
    </row>
    <row r="259" spans="1:1" s="1" customFormat="1" ht="14.1" customHeight="1">
      <c r="A259" s="35"/>
    </row>
    <row r="260" spans="1:1" s="1" customFormat="1" ht="14.1" customHeight="1">
      <c r="A260" s="35"/>
    </row>
    <row r="261" spans="1:1" s="1" customFormat="1" ht="14.1" customHeight="1">
      <c r="A261" s="35"/>
    </row>
    <row r="262" spans="1:1" s="1" customFormat="1" ht="14.1" customHeight="1">
      <c r="A262" s="35"/>
    </row>
    <row r="263" spans="1:1" s="1" customFormat="1" ht="14.1" customHeight="1">
      <c r="A263" s="35"/>
    </row>
    <row r="264" spans="1:1" s="1" customFormat="1" ht="14.1" customHeight="1">
      <c r="A264" s="35"/>
    </row>
    <row r="265" spans="1:1" s="1" customFormat="1" ht="14.1" customHeight="1">
      <c r="A265" s="35"/>
    </row>
    <row r="266" spans="1:1" s="1" customFormat="1" ht="14.1" customHeight="1">
      <c r="A266" s="35"/>
    </row>
    <row r="267" spans="1:1" s="1" customFormat="1" ht="14.1" customHeight="1">
      <c r="A267" s="35"/>
    </row>
    <row r="268" spans="1:1" s="1" customFormat="1" ht="14.1" customHeight="1">
      <c r="A268" s="35"/>
    </row>
    <row r="269" spans="1:1" s="1" customFormat="1" ht="14.1" customHeight="1">
      <c r="A269" s="35"/>
    </row>
    <row r="270" spans="1:1" s="1" customFormat="1" ht="14.1" customHeight="1">
      <c r="A270" s="35"/>
    </row>
    <row r="271" spans="1:1" s="1" customFormat="1" ht="14.1" customHeight="1">
      <c r="A271" s="35"/>
    </row>
    <row r="272" spans="1:1" s="1" customFormat="1" ht="14.1" customHeight="1">
      <c r="A272" s="35"/>
    </row>
    <row r="273" spans="1:1" s="1" customFormat="1" ht="14.1" customHeight="1">
      <c r="A273" s="35"/>
    </row>
    <row r="274" spans="1:1" s="1" customFormat="1" ht="14.1" customHeight="1">
      <c r="A274" s="35"/>
    </row>
    <row r="275" spans="1:1" s="1" customFormat="1" ht="14.1" customHeight="1">
      <c r="A275" s="35"/>
    </row>
    <row r="276" spans="1:1" s="1" customFormat="1" ht="14.1" customHeight="1">
      <c r="A276" s="35"/>
    </row>
    <row r="277" spans="1:1" s="1" customFormat="1" ht="14.1" customHeight="1">
      <c r="A277" s="35"/>
    </row>
    <row r="278" spans="1:1" s="1" customFormat="1" ht="14.1" customHeight="1">
      <c r="A278" s="35"/>
    </row>
    <row r="279" spans="1:1" s="1" customFormat="1" ht="14.1" customHeight="1">
      <c r="A279" s="35"/>
    </row>
    <row r="280" spans="1:1" s="1" customFormat="1" ht="14.1" customHeight="1">
      <c r="A280" s="35"/>
    </row>
    <row r="281" spans="1:1" s="1" customFormat="1" ht="14.1" customHeight="1">
      <c r="A281" s="35"/>
    </row>
    <row r="282" spans="1:1" s="1" customFormat="1" ht="14.1" customHeight="1">
      <c r="A282" s="35"/>
    </row>
    <row r="283" spans="1:1" s="1" customFormat="1" ht="14.1" customHeight="1">
      <c r="A283" s="35"/>
    </row>
    <row r="284" spans="1:1" s="1" customFormat="1" ht="14.1" customHeight="1">
      <c r="A284" s="35"/>
    </row>
    <row r="285" spans="1:1" s="1" customFormat="1" ht="14.1" customHeight="1">
      <c r="A285" s="35"/>
    </row>
    <row r="286" spans="1:1" s="1" customFormat="1" ht="14.1" customHeight="1">
      <c r="A286" s="35"/>
    </row>
    <row r="287" spans="1:1" s="1" customFormat="1" ht="14.1" customHeight="1">
      <c r="A287" s="35"/>
    </row>
    <row r="288" spans="1:1" s="1" customFormat="1" ht="14.1" customHeight="1">
      <c r="A288" s="35"/>
    </row>
    <row r="289" spans="1:1" s="1" customFormat="1" ht="14.1" customHeight="1">
      <c r="A289" s="35"/>
    </row>
    <row r="290" spans="1:1" s="1" customFormat="1" ht="14.1" customHeight="1">
      <c r="A290" s="35"/>
    </row>
    <row r="291" spans="1:1" s="1" customFormat="1" ht="14.1" customHeight="1">
      <c r="A291" s="35"/>
    </row>
    <row r="292" spans="1:1" s="1" customFormat="1" ht="14.1" customHeight="1">
      <c r="A292" s="35"/>
    </row>
    <row r="293" spans="1:1" s="1" customFormat="1" ht="14.1" customHeight="1">
      <c r="A293" s="35"/>
    </row>
    <row r="294" spans="1:1" s="1" customFormat="1" ht="14.1" customHeight="1">
      <c r="A294" s="35"/>
    </row>
    <row r="295" spans="1:1" s="1" customFormat="1" ht="14.1" customHeight="1">
      <c r="A295" s="35"/>
    </row>
    <row r="296" spans="1:1" s="1" customFormat="1">
      <c r="A296" s="35"/>
    </row>
    <row r="297" spans="1:1" s="1" customFormat="1">
      <c r="A297" s="35"/>
    </row>
    <row r="298" spans="1:1" s="1" customFormat="1">
      <c r="A298" s="35"/>
    </row>
    <row r="299" spans="1:1" s="1" customFormat="1">
      <c r="A299" s="35"/>
    </row>
    <row r="300" spans="1:1" s="1" customFormat="1">
      <c r="A300" s="35"/>
    </row>
    <row r="301" spans="1:1" s="1" customFormat="1">
      <c r="A301" s="35"/>
    </row>
    <row r="302" spans="1:1" s="1" customFormat="1">
      <c r="A302" s="35"/>
    </row>
  </sheetData>
  <sheetProtection formatCells="0" formatRows="0" insertRows="0" selectLockedCells="1"/>
  <mergeCells count="318"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R95"/>
  <sheetViews>
    <sheetView tabSelected="1" topLeftCell="T1" workbookViewId="0">
      <pane ySplit="1" topLeftCell="A2" activePane="bottomLeft" state="frozen"/>
      <selection pane="bottomLeft" activeCell="Q11" sqref="Q11"/>
    </sheetView>
  </sheetViews>
  <sheetFormatPr defaultRowHeight="15.75"/>
  <cols>
    <col min="1" max="1" width="3" style="38" bestFit="1" customWidth="1"/>
    <col min="2" max="2" width="38" style="36" bestFit="1" customWidth="1"/>
    <col min="3" max="3" width="7.42578125" style="38" bestFit="1" customWidth="1"/>
    <col min="4" max="4" width="15.42578125" style="58" bestFit="1" customWidth="1"/>
    <col min="5" max="5" width="6.5703125" style="38" bestFit="1" customWidth="1"/>
    <col min="6" max="6" width="3.7109375" style="38" bestFit="1" customWidth="1"/>
    <col min="7" max="7" width="3.85546875" style="38" bestFit="1" customWidth="1"/>
    <col min="8" max="8" width="5.140625" style="38" bestFit="1" customWidth="1"/>
    <col min="9" max="9" width="10" style="38" bestFit="1" customWidth="1"/>
    <col min="10" max="10" width="5" style="38" bestFit="1" customWidth="1"/>
    <col min="11" max="11" width="3.85546875" style="38" bestFit="1" customWidth="1"/>
    <col min="12" max="12" width="3.42578125" style="38" bestFit="1" customWidth="1"/>
    <col min="13" max="13" width="7.5703125" style="38" bestFit="1" customWidth="1"/>
    <col min="14" max="14" width="5.140625" style="39" bestFit="1" customWidth="1"/>
    <col min="15" max="15" width="8.85546875" style="40" bestFit="1" customWidth="1"/>
    <col min="16" max="16" width="7.85546875" style="37" bestFit="1" customWidth="1"/>
    <col min="17" max="17" width="11.5703125" style="40" bestFit="1" customWidth="1"/>
    <col min="18" max="18" width="7.85546875" style="40" bestFit="1" customWidth="1"/>
    <col min="19" max="19" width="6.7109375" style="38" bestFit="1" customWidth="1"/>
    <col min="20" max="20" width="5.42578125" style="38" bestFit="1" customWidth="1"/>
    <col min="21" max="21" width="4.42578125" style="38" bestFit="1" customWidth="1"/>
    <col min="22" max="22" width="6.140625" style="38" bestFit="1" customWidth="1"/>
    <col min="23" max="23" width="6.140625" style="41" bestFit="1" customWidth="1"/>
    <col min="24" max="24" width="6.7109375" style="42" bestFit="1" customWidth="1"/>
    <col min="25" max="25" width="5.5703125" style="42" bestFit="1" customWidth="1"/>
    <col min="26" max="26" width="6.7109375" style="38" bestFit="1" customWidth="1"/>
    <col min="27" max="27" width="7.85546875" style="38" bestFit="1" customWidth="1"/>
    <col min="28" max="28" width="10.42578125" style="38" bestFit="1" customWidth="1"/>
    <col min="29" max="29" width="8.42578125" style="38" bestFit="1" customWidth="1"/>
    <col min="30" max="30" width="7.85546875" style="38" bestFit="1" customWidth="1"/>
    <col min="31" max="31" width="6.7109375" style="38" bestFit="1" customWidth="1"/>
    <col min="32" max="32" width="3.42578125" style="38" bestFit="1" customWidth="1"/>
    <col min="33" max="33" width="14.42578125" style="38" bestFit="1" customWidth="1"/>
    <col min="34" max="34" width="6.7109375" style="38" bestFit="1" customWidth="1"/>
    <col min="35" max="35" width="8.42578125" style="38" bestFit="1" customWidth="1"/>
    <col min="36" max="36" width="9.85546875" style="38" bestFit="1" customWidth="1"/>
    <col min="37" max="37" width="4.28515625" style="38" bestFit="1" customWidth="1"/>
    <col min="38" max="38" width="10.5703125" style="38" bestFit="1" customWidth="1"/>
    <col min="39" max="39" width="12.28515625" style="38" bestFit="1" customWidth="1"/>
    <col min="40" max="40" width="9.7109375" style="38" bestFit="1" customWidth="1"/>
    <col min="41" max="42" width="6.7109375" style="38" bestFit="1" customWidth="1"/>
    <col min="43" max="44" width="5.5703125" style="38" bestFit="1" customWidth="1"/>
    <col min="45" max="16384" width="9.140625" style="38"/>
  </cols>
  <sheetData>
    <row r="1" spans="1:44" s="36" customFormat="1">
      <c r="A1" s="36" t="s">
        <v>0</v>
      </c>
      <c r="B1" s="44" t="s">
        <v>1</v>
      </c>
      <c r="C1" s="44" t="s">
        <v>2</v>
      </c>
      <c r="D1" s="59" t="s">
        <v>3</v>
      </c>
      <c r="E1" s="44" t="s">
        <v>4</v>
      </c>
      <c r="F1" s="44" t="s">
        <v>5</v>
      </c>
      <c r="G1" s="44" t="s">
        <v>6</v>
      </c>
      <c r="H1" s="44" t="s">
        <v>7</v>
      </c>
      <c r="I1" s="44" t="s">
        <v>356</v>
      </c>
      <c r="J1" s="44" t="s">
        <v>9</v>
      </c>
      <c r="K1" s="44" t="s">
        <v>10</v>
      </c>
      <c r="L1" s="44" t="s">
        <v>11</v>
      </c>
      <c r="M1" s="44" t="s">
        <v>12</v>
      </c>
      <c r="N1" s="60" t="s">
        <v>13</v>
      </c>
      <c r="O1" s="43" t="s">
        <v>14</v>
      </c>
      <c r="P1" s="43" t="s">
        <v>362</v>
      </c>
      <c r="Q1" s="43" t="s">
        <v>361</v>
      </c>
      <c r="R1" s="43" t="s">
        <v>363</v>
      </c>
      <c r="S1" s="44" t="s">
        <v>15</v>
      </c>
      <c r="T1" s="44" t="s">
        <v>16</v>
      </c>
      <c r="U1" s="44" t="s">
        <v>17</v>
      </c>
      <c r="V1" s="44" t="s">
        <v>18</v>
      </c>
      <c r="W1" s="45" t="s">
        <v>19</v>
      </c>
      <c r="X1" s="46" t="s">
        <v>20</v>
      </c>
      <c r="Y1" s="46" t="s">
        <v>21</v>
      </c>
      <c r="Z1" s="44" t="s">
        <v>22</v>
      </c>
      <c r="AA1" s="44" t="s">
        <v>23</v>
      </c>
      <c r="AB1" s="44" t="s">
        <v>24</v>
      </c>
      <c r="AC1" s="44" t="s">
        <v>355</v>
      </c>
      <c r="AD1" s="44" t="s">
        <v>25</v>
      </c>
      <c r="AE1" s="44" t="s">
        <v>26</v>
      </c>
      <c r="AF1" s="44" t="s">
        <v>27</v>
      </c>
      <c r="AG1" s="44" t="s">
        <v>28</v>
      </c>
      <c r="AH1" s="44" t="s">
        <v>29</v>
      </c>
      <c r="AI1" s="44" t="s">
        <v>30</v>
      </c>
      <c r="AJ1" s="44" t="s">
        <v>31</v>
      </c>
      <c r="AK1" s="44" t="s">
        <v>32</v>
      </c>
      <c r="AL1" s="44" t="s">
        <v>33</v>
      </c>
      <c r="AM1" s="44" t="s">
        <v>34</v>
      </c>
      <c r="AN1" s="44" t="s">
        <v>357</v>
      </c>
      <c r="AO1" s="44" t="s">
        <v>358</v>
      </c>
      <c r="AP1" s="44" t="s">
        <v>360</v>
      </c>
      <c r="AQ1" s="44" t="s">
        <v>359</v>
      </c>
      <c r="AR1" s="44" t="s">
        <v>365</v>
      </c>
    </row>
    <row r="2" spans="1:44">
      <c r="B2" s="61" t="s">
        <v>169</v>
      </c>
      <c r="C2" s="48"/>
      <c r="D2" s="62" t="s">
        <v>262</v>
      </c>
      <c r="E2" s="48"/>
      <c r="F2" s="48"/>
      <c r="G2" s="48"/>
      <c r="H2" s="48"/>
      <c r="I2" s="48">
        <v>19200</v>
      </c>
      <c r="J2" s="48"/>
      <c r="K2" s="48"/>
      <c r="L2" s="48"/>
      <c r="M2" s="48"/>
      <c r="N2" s="63"/>
      <c r="O2" s="47"/>
      <c r="P2" s="43">
        <v>778964</v>
      </c>
      <c r="Q2" s="47">
        <v>0</v>
      </c>
      <c r="R2" s="47">
        <v>0</v>
      </c>
      <c r="S2" s="48">
        <v>61155</v>
      </c>
      <c r="T2" s="48"/>
      <c r="U2" s="48">
        <v>720</v>
      </c>
      <c r="V2" s="48">
        <v>3225</v>
      </c>
      <c r="W2" s="49">
        <v>2400</v>
      </c>
      <c r="X2" s="50">
        <v>21900</v>
      </c>
      <c r="Y2" s="50">
        <v>657</v>
      </c>
      <c r="Z2" s="48">
        <v>78452</v>
      </c>
      <c r="AA2" s="48">
        <v>72000</v>
      </c>
      <c r="AB2" s="48"/>
      <c r="AC2" s="48">
        <v>0</v>
      </c>
      <c r="AD2" s="48">
        <v>0</v>
      </c>
      <c r="AE2" s="48">
        <v>0</v>
      </c>
      <c r="AF2" s="48"/>
      <c r="AG2" s="48">
        <v>0</v>
      </c>
      <c r="AH2" s="48">
        <v>0</v>
      </c>
      <c r="AI2" s="48">
        <v>0</v>
      </c>
      <c r="AJ2" s="48"/>
      <c r="AK2" s="48"/>
      <c r="AL2" s="48"/>
      <c r="AM2" s="48">
        <v>7234</v>
      </c>
      <c r="AN2" s="48">
        <v>0</v>
      </c>
      <c r="AO2" s="48">
        <v>0</v>
      </c>
      <c r="AP2" s="48">
        <v>0</v>
      </c>
      <c r="AQ2" s="48">
        <v>0</v>
      </c>
      <c r="AR2" s="48">
        <v>0</v>
      </c>
    </row>
    <row r="3" spans="1:44">
      <c r="B3" s="61" t="s">
        <v>170</v>
      </c>
      <c r="C3" s="48"/>
      <c r="D3" s="62" t="s">
        <v>263</v>
      </c>
      <c r="E3" s="48"/>
      <c r="F3" s="48"/>
      <c r="G3" s="48"/>
      <c r="H3" s="48"/>
      <c r="I3" s="48">
        <v>19200</v>
      </c>
      <c r="J3" s="48"/>
      <c r="K3" s="48"/>
      <c r="L3" s="48"/>
      <c r="M3" s="48"/>
      <c r="N3" s="63"/>
      <c r="O3" s="47"/>
      <c r="P3" s="43">
        <v>720288</v>
      </c>
      <c r="Q3" s="47">
        <v>0</v>
      </c>
      <c r="R3" s="47">
        <v>8585</v>
      </c>
      <c r="S3" s="48">
        <v>54389</v>
      </c>
      <c r="T3" s="48"/>
      <c r="U3" s="48">
        <v>720</v>
      </c>
      <c r="V3" s="48">
        <v>0</v>
      </c>
      <c r="W3" s="49">
        <v>2400</v>
      </c>
      <c r="X3" s="50">
        <v>12020</v>
      </c>
      <c r="Y3" s="50">
        <v>361</v>
      </c>
      <c r="Z3" s="48">
        <v>37765</v>
      </c>
      <c r="AA3" s="48">
        <v>70000</v>
      </c>
      <c r="AB3" s="48"/>
      <c r="AC3" s="48">
        <v>4598</v>
      </c>
      <c r="AD3" s="48">
        <v>128652</v>
      </c>
      <c r="AE3" s="48">
        <v>0</v>
      </c>
      <c r="AF3" s="48"/>
      <c r="AG3" s="48">
        <v>0</v>
      </c>
      <c r="AH3" s="48">
        <v>0</v>
      </c>
      <c r="AI3" s="48">
        <v>0</v>
      </c>
      <c r="AJ3" s="48"/>
      <c r="AK3" s="48"/>
      <c r="AL3" s="48"/>
      <c r="AM3" s="48">
        <v>0</v>
      </c>
      <c r="AN3" s="48">
        <v>0</v>
      </c>
      <c r="AO3" s="48">
        <v>0</v>
      </c>
      <c r="AP3" s="48">
        <v>0</v>
      </c>
      <c r="AQ3" s="48">
        <v>0</v>
      </c>
      <c r="AR3" s="48">
        <v>0</v>
      </c>
    </row>
    <row r="4" spans="1:44">
      <c r="B4" s="61" t="s">
        <v>171</v>
      </c>
      <c r="C4" s="48"/>
      <c r="D4" s="62" t="s">
        <v>264</v>
      </c>
      <c r="E4" s="48"/>
      <c r="F4" s="48"/>
      <c r="G4" s="48"/>
      <c r="H4" s="48"/>
      <c r="I4" s="48">
        <v>19200</v>
      </c>
      <c r="J4" s="48"/>
      <c r="K4" s="48"/>
      <c r="L4" s="48"/>
      <c r="M4" s="48"/>
      <c r="N4" s="63"/>
      <c r="O4" s="47"/>
      <c r="P4" s="43">
        <v>661592</v>
      </c>
      <c r="Q4" s="47">
        <v>0</v>
      </c>
      <c r="R4" s="47">
        <v>0</v>
      </c>
      <c r="S4" s="48">
        <v>51284</v>
      </c>
      <c r="T4" s="48"/>
      <c r="U4" s="48">
        <v>720</v>
      </c>
      <c r="V4" s="48">
        <v>0</v>
      </c>
      <c r="W4" s="49">
        <v>2400</v>
      </c>
      <c r="X4" s="50">
        <v>22000</v>
      </c>
      <c r="Y4" s="50">
        <v>660</v>
      </c>
      <c r="Z4" s="48">
        <v>19278</v>
      </c>
      <c r="AA4" s="48">
        <v>80000</v>
      </c>
      <c r="AB4" s="48"/>
      <c r="AC4" s="48">
        <v>31776</v>
      </c>
      <c r="AD4" s="48">
        <v>0</v>
      </c>
      <c r="AE4" s="48">
        <v>0</v>
      </c>
      <c r="AF4" s="48"/>
      <c r="AG4" s="48">
        <v>0</v>
      </c>
      <c r="AH4" s="48">
        <v>0</v>
      </c>
      <c r="AI4" s="48">
        <v>0</v>
      </c>
      <c r="AJ4" s="48"/>
      <c r="AK4" s="48"/>
      <c r="AL4" s="48"/>
      <c r="AM4" s="48">
        <v>0</v>
      </c>
      <c r="AN4" s="48">
        <v>0</v>
      </c>
      <c r="AO4" s="48">
        <v>0</v>
      </c>
      <c r="AP4" s="48">
        <v>0</v>
      </c>
      <c r="AQ4" s="48">
        <v>0</v>
      </c>
      <c r="AR4" s="48">
        <v>0</v>
      </c>
    </row>
    <row r="5" spans="1:44">
      <c r="B5" s="61" t="s">
        <v>172</v>
      </c>
      <c r="C5" s="48"/>
      <c r="D5" s="62" t="s">
        <v>265</v>
      </c>
      <c r="E5" s="48"/>
      <c r="F5" s="48"/>
      <c r="G5" s="48"/>
      <c r="H5" s="48"/>
      <c r="I5" s="48">
        <v>19200</v>
      </c>
      <c r="J5" s="48"/>
      <c r="K5" s="48"/>
      <c r="L5" s="48"/>
      <c r="M5" s="48"/>
      <c r="N5" s="63"/>
      <c r="O5" s="47"/>
      <c r="P5" s="43">
        <v>576745</v>
      </c>
      <c r="Q5" s="47">
        <v>0</v>
      </c>
      <c r="R5" s="47">
        <v>0</v>
      </c>
      <c r="S5" s="48">
        <v>43905</v>
      </c>
      <c r="T5" s="48"/>
      <c r="U5" s="48">
        <v>360</v>
      </c>
      <c r="V5" s="48">
        <v>3225</v>
      </c>
      <c r="W5" s="49">
        <v>2300</v>
      </c>
      <c r="X5" s="50">
        <v>11450</v>
      </c>
      <c r="Y5" s="50">
        <v>344</v>
      </c>
      <c r="Z5" s="48">
        <v>29700</v>
      </c>
      <c r="AA5" s="48">
        <v>0</v>
      </c>
      <c r="AB5" s="48"/>
      <c r="AC5" s="48">
        <v>0</v>
      </c>
      <c r="AD5" s="48">
        <v>0</v>
      </c>
      <c r="AE5" s="48">
        <v>0</v>
      </c>
      <c r="AF5" s="48"/>
      <c r="AG5" s="48">
        <v>0</v>
      </c>
      <c r="AH5" s="48">
        <v>0</v>
      </c>
      <c r="AI5" s="48">
        <v>0</v>
      </c>
      <c r="AJ5" s="48"/>
      <c r="AK5" s="48"/>
      <c r="AL5" s="48"/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</row>
    <row r="6" spans="1:44">
      <c r="B6" s="61" t="s">
        <v>173</v>
      </c>
      <c r="C6" s="48"/>
      <c r="D6" s="62" t="s">
        <v>266</v>
      </c>
      <c r="E6" s="48"/>
      <c r="F6" s="48"/>
      <c r="G6" s="48"/>
      <c r="H6" s="48"/>
      <c r="I6" s="48">
        <v>19200</v>
      </c>
      <c r="J6" s="48"/>
      <c r="K6" s="48"/>
      <c r="L6" s="48"/>
      <c r="M6" s="48"/>
      <c r="N6" s="63"/>
      <c r="O6" s="47"/>
      <c r="P6" s="43">
        <v>533576</v>
      </c>
      <c r="Q6" s="47">
        <v>0</v>
      </c>
      <c r="R6" s="47">
        <v>0</v>
      </c>
      <c r="S6" s="48">
        <v>40409</v>
      </c>
      <c r="T6" s="48"/>
      <c r="U6" s="48">
        <v>360</v>
      </c>
      <c r="V6" s="48">
        <v>7234</v>
      </c>
      <c r="W6" s="49">
        <v>2350</v>
      </c>
      <c r="X6" s="50">
        <v>10710</v>
      </c>
      <c r="Y6" s="50">
        <v>321</v>
      </c>
      <c r="Z6" s="48">
        <v>0</v>
      </c>
      <c r="AA6" s="48">
        <v>0</v>
      </c>
      <c r="AB6" s="48"/>
      <c r="AC6" s="48">
        <v>0</v>
      </c>
      <c r="AD6" s="48">
        <v>0</v>
      </c>
      <c r="AE6" s="48">
        <v>0</v>
      </c>
      <c r="AF6" s="48"/>
      <c r="AG6" s="48">
        <v>0</v>
      </c>
      <c r="AH6" s="48">
        <v>0</v>
      </c>
      <c r="AI6" s="48">
        <v>0</v>
      </c>
      <c r="AJ6" s="48"/>
      <c r="AK6" s="48"/>
      <c r="AL6" s="48"/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</row>
    <row r="7" spans="1:44">
      <c r="B7" s="61" t="s">
        <v>174</v>
      </c>
      <c r="C7" s="48"/>
      <c r="D7" s="62" t="s">
        <v>267</v>
      </c>
      <c r="E7" s="48"/>
      <c r="F7" s="48"/>
      <c r="G7" s="48"/>
      <c r="H7" s="48"/>
      <c r="I7" s="48">
        <v>19200</v>
      </c>
      <c r="J7" s="48"/>
      <c r="K7" s="48"/>
      <c r="L7" s="48"/>
      <c r="M7" s="48"/>
      <c r="N7" s="63"/>
      <c r="O7" s="47"/>
      <c r="P7" s="43">
        <v>480928</v>
      </c>
      <c r="Q7" s="47">
        <v>0</v>
      </c>
      <c r="R7" s="47">
        <v>0</v>
      </c>
      <c r="S7" s="48">
        <v>36305</v>
      </c>
      <c r="T7" s="48"/>
      <c r="U7" s="48">
        <v>360</v>
      </c>
      <c r="V7" s="48">
        <v>1792</v>
      </c>
      <c r="W7" s="49">
        <v>2200</v>
      </c>
      <c r="X7" s="50">
        <v>8310</v>
      </c>
      <c r="Y7" s="50">
        <v>249</v>
      </c>
      <c r="Z7" s="48">
        <v>5064</v>
      </c>
      <c r="AA7" s="48">
        <v>0</v>
      </c>
      <c r="AB7" s="48"/>
      <c r="AC7" s="48">
        <v>0</v>
      </c>
      <c r="AD7" s="48">
        <v>0</v>
      </c>
      <c r="AE7" s="48">
        <v>0</v>
      </c>
      <c r="AF7" s="48"/>
      <c r="AG7" s="48">
        <v>0</v>
      </c>
      <c r="AH7" s="48">
        <v>0</v>
      </c>
      <c r="AI7" s="48">
        <v>0</v>
      </c>
      <c r="AJ7" s="48"/>
      <c r="AK7" s="48"/>
      <c r="AL7" s="48"/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</row>
    <row r="8" spans="1:44">
      <c r="B8" s="61" t="s">
        <v>175</v>
      </c>
      <c r="C8" s="48"/>
      <c r="D8" s="62" t="s">
        <v>268</v>
      </c>
      <c r="E8" s="48"/>
      <c r="F8" s="48"/>
      <c r="G8" s="48"/>
      <c r="H8" s="48"/>
      <c r="I8" s="48">
        <v>19200</v>
      </c>
      <c r="J8" s="48"/>
      <c r="K8" s="48"/>
      <c r="L8" s="48"/>
      <c r="M8" s="48"/>
      <c r="N8" s="63"/>
      <c r="O8" s="47"/>
      <c r="P8" s="43">
        <v>506998</v>
      </c>
      <c r="Q8" s="47">
        <v>0</v>
      </c>
      <c r="R8" s="47">
        <v>0</v>
      </c>
      <c r="S8" s="48">
        <v>38114</v>
      </c>
      <c r="T8" s="48"/>
      <c r="U8" s="48">
        <v>360</v>
      </c>
      <c r="V8" s="48">
        <v>0</v>
      </c>
      <c r="W8" s="49">
        <v>2200</v>
      </c>
      <c r="X8" s="50">
        <v>6800</v>
      </c>
      <c r="Y8" s="50">
        <v>204</v>
      </c>
      <c r="Z8" s="48">
        <v>37632</v>
      </c>
      <c r="AA8" s="48">
        <v>0</v>
      </c>
      <c r="AB8" s="48"/>
      <c r="AC8" s="48">
        <v>0</v>
      </c>
      <c r="AD8" s="48">
        <v>23700</v>
      </c>
      <c r="AE8" s="48">
        <v>0</v>
      </c>
      <c r="AF8" s="48"/>
      <c r="AG8" s="48">
        <v>0</v>
      </c>
      <c r="AH8" s="48">
        <v>0</v>
      </c>
      <c r="AI8" s="48">
        <v>0</v>
      </c>
      <c r="AJ8" s="48"/>
      <c r="AK8" s="48"/>
      <c r="AL8" s="48"/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</row>
    <row r="9" spans="1:44">
      <c r="B9" s="61" t="s">
        <v>176</v>
      </c>
      <c r="C9" s="48"/>
      <c r="D9" s="62" t="s">
        <v>269</v>
      </c>
      <c r="E9" s="48"/>
      <c r="F9" s="48"/>
      <c r="G9" s="48"/>
      <c r="H9" s="48"/>
      <c r="I9" s="48">
        <v>19200</v>
      </c>
      <c r="J9" s="48"/>
      <c r="K9" s="48"/>
      <c r="L9" s="48"/>
      <c r="M9" s="48"/>
      <c r="N9" s="63"/>
      <c r="O9" s="47"/>
      <c r="P9" s="43">
        <v>564368</v>
      </c>
      <c r="Q9" s="47">
        <v>0</v>
      </c>
      <c r="R9" s="47">
        <v>0</v>
      </c>
      <c r="S9" s="48">
        <v>51284</v>
      </c>
      <c r="T9" s="48"/>
      <c r="U9" s="48">
        <v>720</v>
      </c>
      <c r="V9" s="48">
        <v>5175</v>
      </c>
      <c r="W9" s="49">
        <v>2400</v>
      </c>
      <c r="X9" s="50">
        <v>1890</v>
      </c>
      <c r="Y9" s="50">
        <v>57</v>
      </c>
      <c r="Z9" s="48">
        <v>26167</v>
      </c>
      <c r="AA9" s="48">
        <v>130000</v>
      </c>
      <c r="AB9" s="48"/>
      <c r="AC9" s="48">
        <v>0</v>
      </c>
      <c r="AD9" s="48">
        <v>0</v>
      </c>
      <c r="AE9" s="48">
        <v>0</v>
      </c>
      <c r="AF9" s="48"/>
      <c r="AG9" s="48">
        <v>0</v>
      </c>
      <c r="AH9" s="48">
        <v>0</v>
      </c>
      <c r="AI9" s="48">
        <v>0</v>
      </c>
      <c r="AJ9" s="48"/>
      <c r="AK9" s="48"/>
      <c r="AL9" s="48"/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</row>
    <row r="10" spans="1:44">
      <c r="B10" s="61" t="s">
        <v>177</v>
      </c>
      <c r="C10" s="48"/>
      <c r="D10" s="62" t="s">
        <v>270</v>
      </c>
      <c r="E10" s="48"/>
      <c r="F10" s="48"/>
      <c r="G10" s="48"/>
      <c r="H10" s="48"/>
      <c r="I10" s="48">
        <v>19200</v>
      </c>
      <c r="J10" s="48"/>
      <c r="K10" s="48"/>
      <c r="L10" s="48"/>
      <c r="M10" s="48"/>
      <c r="N10" s="63"/>
      <c r="O10" s="47"/>
      <c r="P10" s="43">
        <v>528308</v>
      </c>
      <c r="Q10" s="47">
        <v>0</v>
      </c>
      <c r="R10" s="47">
        <v>42266</v>
      </c>
      <c r="S10" s="48">
        <v>39187</v>
      </c>
      <c r="T10" s="48"/>
      <c r="U10" s="48">
        <v>360</v>
      </c>
      <c r="V10" s="48">
        <v>2875</v>
      </c>
      <c r="W10" s="49">
        <v>2200</v>
      </c>
      <c r="X10" s="50">
        <v>0</v>
      </c>
      <c r="Y10" s="50">
        <v>0</v>
      </c>
      <c r="Z10" s="48">
        <v>33264</v>
      </c>
      <c r="AA10" s="48">
        <v>0</v>
      </c>
      <c r="AB10" s="48"/>
      <c r="AC10" s="48">
        <v>92326</v>
      </c>
      <c r="AD10" s="48">
        <v>0</v>
      </c>
      <c r="AE10" s="48">
        <v>0</v>
      </c>
      <c r="AF10" s="48"/>
      <c r="AG10" s="48">
        <v>0</v>
      </c>
      <c r="AH10" s="48">
        <v>0</v>
      </c>
      <c r="AI10" s="48">
        <v>0</v>
      </c>
      <c r="AJ10" s="48"/>
      <c r="AK10" s="48"/>
      <c r="AL10" s="48"/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</row>
    <row r="11" spans="1:44">
      <c r="B11" s="64" t="s">
        <v>178</v>
      </c>
      <c r="C11" s="48"/>
      <c r="D11" s="65" t="s">
        <v>271</v>
      </c>
      <c r="E11" s="48"/>
      <c r="F11" s="48"/>
      <c r="G11" s="48"/>
      <c r="H11" s="48"/>
      <c r="I11" s="48">
        <v>19200</v>
      </c>
      <c r="J11" s="48"/>
      <c r="K11" s="48"/>
      <c r="L11" s="48"/>
      <c r="M11" s="48"/>
      <c r="N11" s="63"/>
      <c r="O11" s="47"/>
      <c r="P11" s="43">
        <v>578192</v>
      </c>
      <c r="Q11" s="47">
        <v>0</v>
      </c>
      <c r="R11" s="47">
        <v>0</v>
      </c>
      <c r="S11" s="48">
        <v>52667</v>
      </c>
      <c r="T11" s="48"/>
      <c r="U11" s="48">
        <v>720</v>
      </c>
      <c r="V11" s="48">
        <v>5175</v>
      </c>
      <c r="W11" s="49">
        <v>2400</v>
      </c>
      <c r="X11" s="50">
        <v>9500</v>
      </c>
      <c r="Y11" s="50">
        <v>285</v>
      </c>
      <c r="Z11" s="48">
        <v>26167</v>
      </c>
      <c r="AA11" s="48">
        <v>23500</v>
      </c>
      <c r="AB11" s="48"/>
      <c r="AC11" s="48">
        <v>0</v>
      </c>
      <c r="AD11" s="48">
        <v>0</v>
      </c>
      <c r="AE11" s="48">
        <v>0</v>
      </c>
      <c r="AF11" s="48"/>
      <c r="AG11" s="48">
        <v>0</v>
      </c>
      <c r="AH11" s="48">
        <v>0</v>
      </c>
      <c r="AI11" s="48">
        <v>0</v>
      </c>
      <c r="AJ11" s="48"/>
      <c r="AK11" s="48"/>
      <c r="AL11" s="48"/>
      <c r="AM11" s="48">
        <v>0</v>
      </c>
      <c r="AN11" s="48">
        <v>0</v>
      </c>
      <c r="AO11" s="48">
        <v>9000</v>
      </c>
      <c r="AP11" s="48">
        <v>0</v>
      </c>
      <c r="AQ11" s="48">
        <v>0</v>
      </c>
      <c r="AR11" s="48">
        <v>0</v>
      </c>
    </row>
    <row r="12" spans="1:44">
      <c r="B12" s="61" t="s">
        <v>179</v>
      </c>
      <c r="C12" s="48"/>
      <c r="D12" s="62" t="s">
        <v>272</v>
      </c>
      <c r="E12" s="48"/>
      <c r="F12" s="48"/>
      <c r="G12" s="48"/>
      <c r="H12" s="48"/>
      <c r="I12" s="48">
        <v>19200</v>
      </c>
      <c r="J12" s="48"/>
      <c r="K12" s="48"/>
      <c r="L12" s="48"/>
      <c r="M12" s="48"/>
      <c r="N12" s="63"/>
      <c r="O12" s="47"/>
      <c r="P12" s="43">
        <v>645248</v>
      </c>
      <c r="Q12" s="47">
        <v>26865</v>
      </c>
      <c r="R12" s="47">
        <v>0</v>
      </c>
      <c r="S12" s="48">
        <v>51135</v>
      </c>
      <c r="T12" s="48"/>
      <c r="U12" s="48">
        <v>720</v>
      </c>
      <c r="V12" s="48">
        <v>5175</v>
      </c>
      <c r="W12" s="49">
        <v>2400</v>
      </c>
      <c r="X12" s="50">
        <v>14290</v>
      </c>
      <c r="Y12" s="50">
        <v>429</v>
      </c>
      <c r="Z12" s="48">
        <v>30829</v>
      </c>
      <c r="AA12" s="48">
        <v>0</v>
      </c>
      <c r="AB12" s="48"/>
      <c r="AC12" s="48">
        <v>0</v>
      </c>
      <c r="AD12" s="48">
        <v>0</v>
      </c>
      <c r="AE12" s="48">
        <v>0</v>
      </c>
      <c r="AF12" s="48"/>
      <c r="AG12" s="48">
        <v>0</v>
      </c>
      <c r="AH12" s="48">
        <v>0</v>
      </c>
      <c r="AI12" s="48">
        <v>0</v>
      </c>
      <c r="AJ12" s="48"/>
      <c r="AK12" s="48"/>
      <c r="AL12" s="48"/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</row>
    <row r="13" spans="1:44">
      <c r="B13" s="61" t="s">
        <v>180</v>
      </c>
      <c r="C13" s="48"/>
      <c r="D13" s="62" t="s">
        <v>273</v>
      </c>
      <c r="E13" s="48"/>
      <c r="F13" s="48"/>
      <c r="G13" s="48"/>
      <c r="H13" s="48"/>
      <c r="I13" s="48">
        <v>19200</v>
      </c>
      <c r="J13" s="48"/>
      <c r="K13" s="48"/>
      <c r="L13" s="48"/>
      <c r="M13" s="48"/>
      <c r="N13" s="63"/>
      <c r="O13" s="47"/>
      <c r="P13" s="43">
        <v>660877</v>
      </c>
      <c r="Q13" s="47">
        <v>0</v>
      </c>
      <c r="R13" s="47">
        <v>0</v>
      </c>
      <c r="S13" s="48">
        <v>51232</v>
      </c>
      <c r="T13" s="48"/>
      <c r="U13" s="48">
        <v>720</v>
      </c>
      <c r="V13" s="48">
        <v>0</v>
      </c>
      <c r="W13" s="49">
        <v>2400</v>
      </c>
      <c r="X13" s="50">
        <v>30000</v>
      </c>
      <c r="Y13" s="50">
        <v>900</v>
      </c>
      <c r="Z13" s="48">
        <v>0</v>
      </c>
      <c r="AA13" s="48">
        <v>0</v>
      </c>
      <c r="AB13" s="48"/>
      <c r="AC13" s="48">
        <v>0</v>
      </c>
      <c r="AD13" s="48">
        <v>0</v>
      </c>
      <c r="AE13" s="48">
        <v>0</v>
      </c>
      <c r="AF13" s="48"/>
      <c r="AG13" s="48">
        <v>0</v>
      </c>
      <c r="AH13" s="48">
        <v>0</v>
      </c>
      <c r="AI13" s="48">
        <v>0</v>
      </c>
      <c r="AJ13" s="48"/>
      <c r="AK13" s="48"/>
      <c r="AL13" s="48"/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</row>
    <row r="14" spans="1:44">
      <c r="B14" s="61" t="s">
        <v>181</v>
      </c>
      <c r="C14" s="48"/>
      <c r="D14" s="62" t="s">
        <v>274</v>
      </c>
      <c r="E14" s="48"/>
      <c r="F14" s="48"/>
      <c r="G14" s="48"/>
      <c r="H14" s="48"/>
      <c r="I14" s="48">
        <v>19200</v>
      </c>
      <c r="J14" s="48"/>
      <c r="K14" s="48"/>
      <c r="L14" s="48"/>
      <c r="M14" s="48"/>
      <c r="N14" s="63"/>
      <c r="O14" s="47"/>
      <c r="P14" s="43">
        <v>661532</v>
      </c>
      <c r="Q14" s="47">
        <v>0</v>
      </c>
      <c r="R14" s="47">
        <v>0</v>
      </c>
      <c r="S14" s="48">
        <v>51284</v>
      </c>
      <c r="T14" s="48"/>
      <c r="U14" s="48">
        <v>720</v>
      </c>
      <c r="V14" s="48">
        <v>3225</v>
      </c>
      <c r="W14" s="49">
        <v>2400</v>
      </c>
      <c r="X14" s="50">
        <v>11510</v>
      </c>
      <c r="Y14" s="50">
        <v>345</v>
      </c>
      <c r="Z14" s="48">
        <v>29222</v>
      </c>
      <c r="AA14" s="48">
        <v>60000</v>
      </c>
      <c r="AB14" s="48"/>
      <c r="AC14" s="48">
        <v>0</v>
      </c>
      <c r="AD14" s="48">
        <v>0</v>
      </c>
      <c r="AE14" s="48">
        <v>0</v>
      </c>
      <c r="AF14" s="48"/>
      <c r="AG14" s="48">
        <v>0</v>
      </c>
      <c r="AH14" s="48">
        <v>0</v>
      </c>
      <c r="AI14" s="48">
        <v>0</v>
      </c>
      <c r="AJ14" s="48"/>
      <c r="AK14" s="48"/>
      <c r="AL14" s="48"/>
      <c r="AM14" s="48">
        <v>15491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</row>
    <row r="15" spans="1:44">
      <c r="B15" s="61" t="s">
        <v>182</v>
      </c>
      <c r="C15" s="48"/>
      <c r="D15" s="62" t="s">
        <v>275</v>
      </c>
      <c r="E15" s="48"/>
      <c r="F15" s="48"/>
      <c r="G15" s="48"/>
      <c r="H15" s="48"/>
      <c r="I15" s="48">
        <v>19200</v>
      </c>
      <c r="J15" s="48"/>
      <c r="K15" s="48"/>
      <c r="L15" s="48"/>
      <c r="M15" s="48"/>
      <c r="N15" s="63"/>
      <c r="O15" s="47"/>
      <c r="P15" s="43">
        <v>667532</v>
      </c>
      <c r="Q15" s="47">
        <v>0</v>
      </c>
      <c r="R15" s="47">
        <v>0</v>
      </c>
      <c r="S15" s="48">
        <v>51284</v>
      </c>
      <c r="T15" s="48"/>
      <c r="U15" s="48">
        <v>720</v>
      </c>
      <c r="V15" s="48">
        <v>5175</v>
      </c>
      <c r="W15" s="49">
        <v>2400</v>
      </c>
      <c r="X15" s="50">
        <v>9550</v>
      </c>
      <c r="Y15" s="50">
        <v>287</v>
      </c>
      <c r="Z15" s="48">
        <v>42723</v>
      </c>
      <c r="AA15" s="48">
        <v>108000</v>
      </c>
      <c r="AB15" s="48"/>
      <c r="AC15" s="48">
        <v>0</v>
      </c>
      <c r="AD15" s="48">
        <v>0</v>
      </c>
      <c r="AE15" s="48">
        <v>0</v>
      </c>
      <c r="AF15" s="48"/>
      <c r="AG15" s="48">
        <v>0</v>
      </c>
      <c r="AH15" s="48">
        <v>0</v>
      </c>
      <c r="AI15" s="48">
        <v>0</v>
      </c>
      <c r="AJ15" s="48"/>
      <c r="AK15" s="48"/>
      <c r="AL15" s="48"/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</row>
    <row r="16" spans="1:44">
      <c r="B16" s="61" t="s">
        <v>183</v>
      </c>
      <c r="C16" s="48"/>
      <c r="D16" s="62" t="s">
        <v>276</v>
      </c>
      <c r="E16" s="48"/>
      <c r="F16" s="48"/>
      <c r="G16" s="48"/>
      <c r="H16" s="48"/>
      <c r="I16" s="48">
        <v>19200</v>
      </c>
      <c r="J16" s="48"/>
      <c r="K16" s="48"/>
      <c r="L16" s="48"/>
      <c r="M16" s="48"/>
      <c r="N16" s="63"/>
      <c r="O16" s="47"/>
      <c r="P16" s="43">
        <v>524168</v>
      </c>
      <c r="Q16" s="47">
        <v>0</v>
      </c>
      <c r="R16" s="47">
        <v>0</v>
      </c>
      <c r="S16" s="48">
        <v>38681</v>
      </c>
      <c r="T16" s="48"/>
      <c r="U16" s="48">
        <v>360</v>
      </c>
      <c r="V16" s="48">
        <v>0</v>
      </c>
      <c r="W16" s="49">
        <v>2200</v>
      </c>
      <c r="X16" s="50">
        <v>1930</v>
      </c>
      <c r="Y16" s="50">
        <v>58</v>
      </c>
      <c r="Z16" s="48">
        <v>58085</v>
      </c>
      <c r="AA16" s="48">
        <v>60000</v>
      </c>
      <c r="AB16" s="48"/>
      <c r="AC16" s="48">
        <v>0</v>
      </c>
      <c r="AD16" s="48">
        <v>0</v>
      </c>
      <c r="AE16" s="48">
        <v>0</v>
      </c>
      <c r="AF16" s="48"/>
      <c r="AG16" s="48">
        <v>0</v>
      </c>
      <c r="AH16" s="48">
        <v>0</v>
      </c>
      <c r="AI16" s="48">
        <v>0</v>
      </c>
      <c r="AJ16" s="48"/>
      <c r="AK16" s="48"/>
      <c r="AL16" s="48"/>
      <c r="AM16" s="48">
        <v>7234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</row>
    <row r="17" spans="2:44" s="54" customFormat="1">
      <c r="B17" s="66" t="s">
        <v>184</v>
      </c>
      <c r="C17" s="55"/>
      <c r="D17" s="67" t="s">
        <v>277</v>
      </c>
      <c r="E17" s="55"/>
      <c r="F17" s="55"/>
      <c r="G17" s="55"/>
      <c r="H17" s="55"/>
      <c r="I17" s="55">
        <v>19200</v>
      </c>
      <c r="J17" s="55"/>
      <c r="K17" s="55"/>
      <c r="L17" s="55"/>
      <c r="M17" s="55"/>
      <c r="N17" s="55"/>
      <c r="O17" s="55"/>
      <c r="P17" s="43">
        <v>344736</v>
      </c>
      <c r="Q17" s="47">
        <v>0</v>
      </c>
      <c r="R17" s="47">
        <v>0</v>
      </c>
      <c r="S17" s="55">
        <v>27640</v>
      </c>
      <c r="T17" s="55"/>
      <c r="U17" s="55">
        <v>360</v>
      </c>
      <c r="V17" s="55">
        <v>2875</v>
      </c>
      <c r="W17" s="56">
        <v>1800</v>
      </c>
      <c r="X17" s="57">
        <v>0</v>
      </c>
      <c r="Y17" s="57">
        <v>0</v>
      </c>
      <c r="Z17" s="55">
        <v>28416</v>
      </c>
      <c r="AA17" s="55">
        <v>0</v>
      </c>
      <c r="AB17" s="55"/>
      <c r="AC17" s="55">
        <v>0</v>
      </c>
      <c r="AD17" s="55">
        <v>0</v>
      </c>
      <c r="AE17" s="55">
        <v>0</v>
      </c>
      <c r="AF17" s="55"/>
      <c r="AG17" s="55">
        <v>0</v>
      </c>
      <c r="AH17" s="55">
        <v>0</v>
      </c>
      <c r="AI17" s="55">
        <v>0</v>
      </c>
      <c r="AJ17" s="55"/>
      <c r="AK17" s="55"/>
      <c r="AL17" s="55"/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</row>
    <row r="18" spans="2:44">
      <c r="B18" s="61" t="s">
        <v>185</v>
      </c>
      <c r="C18" s="48"/>
      <c r="D18" s="62" t="s">
        <v>278</v>
      </c>
      <c r="E18" s="48"/>
      <c r="F18" s="48"/>
      <c r="G18" s="48"/>
      <c r="H18" s="48"/>
      <c r="I18" s="48">
        <v>19200</v>
      </c>
      <c r="J18" s="48"/>
      <c r="K18" s="48"/>
      <c r="L18" s="48"/>
      <c r="M18" s="48"/>
      <c r="N18" s="63"/>
      <c r="O18" s="47"/>
      <c r="P18" s="43">
        <v>350300</v>
      </c>
      <c r="Q18" s="47">
        <v>0</v>
      </c>
      <c r="R18" s="47">
        <v>0</v>
      </c>
      <c r="S18" s="48">
        <v>28814</v>
      </c>
      <c r="T18" s="48"/>
      <c r="U18" s="48">
        <v>360</v>
      </c>
      <c r="V18" s="48">
        <v>0</v>
      </c>
      <c r="W18" s="49">
        <v>1800</v>
      </c>
      <c r="X18" s="50">
        <v>0</v>
      </c>
      <c r="Y18" s="50">
        <v>0</v>
      </c>
      <c r="Z18" s="48">
        <v>26004</v>
      </c>
      <c r="AA18" s="48">
        <v>0</v>
      </c>
      <c r="AB18" s="48"/>
      <c r="AC18" s="48">
        <v>0</v>
      </c>
      <c r="AD18" s="48">
        <v>0</v>
      </c>
      <c r="AE18" s="48">
        <v>0</v>
      </c>
      <c r="AF18" s="48"/>
      <c r="AG18" s="48">
        <v>0</v>
      </c>
      <c r="AH18" s="48">
        <v>0</v>
      </c>
      <c r="AI18" s="48">
        <v>0</v>
      </c>
      <c r="AJ18" s="48"/>
      <c r="AK18" s="48"/>
      <c r="AL18" s="48"/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</row>
    <row r="19" spans="2:44">
      <c r="B19" s="61" t="s">
        <v>186</v>
      </c>
      <c r="C19" s="48"/>
      <c r="D19" s="62" t="s">
        <v>279</v>
      </c>
      <c r="E19" s="48"/>
      <c r="F19" s="48"/>
      <c r="G19" s="48"/>
      <c r="H19" s="48"/>
      <c r="I19" s="48">
        <v>19200</v>
      </c>
      <c r="J19" s="48"/>
      <c r="K19" s="48"/>
      <c r="L19" s="48"/>
      <c r="M19" s="48"/>
      <c r="N19" s="63"/>
      <c r="O19" s="47"/>
      <c r="P19" s="43">
        <v>513368</v>
      </c>
      <c r="Q19" s="47">
        <v>0</v>
      </c>
      <c r="R19" s="47">
        <v>0</v>
      </c>
      <c r="S19" s="48">
        <v>38681</v>
      </c>
      <c r="T19" s="48"/>
      <c r="U19" s="48">
        <v>360</v>
      </c>
      <c r="V19" s="48">
        <v>0</v>
      </c>
      <c r="W19" s="49">
        <v>2200</v>
      </c>
      <c r="X19" s="50">
        <v>0</v>
      </c>
      <c r="Y19" s="50">
        <v>0</v>
      </c>
      <c r="Z19" s="48">
        <v>0</v>
      </c>
      <c r="AA19" s="48">
        <v>150000</v>
      </c>
      <c r="AB19" s="48"/>
      <c r="AC19" s="48">
        <v>0</v>
      </c>
      <c r="AD19" s="48">
        <v>0</v>
      </c>
      <c r="AE19" s="48">
        <v>0</v>
      </c>
      <c r="AF19" s="48"/>
      <c r="AG19" s="48">
        <v>0</v>
      </c>
      <c r="AH19" s="48">
        <v>0</v>
      </c>
      <c r="AI19" s="48">
        <v>0</v>
      </c>
      <c r="AJ19" s="48"/>
      <c r="AK19" s="48"/>
      <c r="AL19" s="48"/>
      <c r="AM19" s="48">
        <v>7234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</row>
    <row r="20" spans="2:44">
      <c r="B20" s="61" t="s">
        <v>187</v>
      </c>
      <c r="C20" s="48"/>
      <c r="D20" s="62" t="s">
        <v>280</v>
      </c>
      <c r="E20" s="48"/>
      <c r="F20" s="48"/>
      <c r="G20" s="48"/>
      <c r="H20" s="48"/>
      <c r="I20" s="48">
        <v>19200</v>
      </c>
      <c r="J20" s="48"/>
      <c r="K20" s="48"/>
      <c r="L20" s="48"/>
      <c r="M20" s="48"/>
      <c r="N20" s="63"/>
      <c r="O20" s="47"/>
      <c r="P20" s="43">
        <v>359268</v>
      </c>
      <c r="Q20" s="47">
        <v>0</v>
      </c>
      <c r="R20" s="47">
        <v>0</v>
      </c>
      <c r="S20" s="48">
        <v>28226</v>
      </c>
      <c r="T20" s="48"/>
      <c r="U20" s="48">
        <v>360</v>
      </c>
      <c r="V20" s="48">
        <v>1792</v>
      </c>
      <c r="W20" s="49">
        <v>1800</v>
      </c>
      <c r="X20" s="50">
        <v>0</v>
      </c>
      <c r="Y20" s="50">
        <v>0</v>
      </c>
      <c r="Z20" s="48">
        <v>0</v>
      </c>
      <c r="AA20" s="48">
        <v>18000</v>
      </c>
      <c r="AB20" s="48"/>
      <c r="AC20" s="48">
        <v>0</v>
      </c>
      <c r="AD20" s="48">
        <v>0</v>
      </c>
      <c r="AE20" s="48">
        <v>0</v>
      </c>
      <c r="AF20" s="48"/>
      <c r="AG20" s="48">
        <v>0</v>
      </c>
      <c r="AH20" s="48">
        <v>0</v>
      </c>
      <c r="AI20" s="48">
        <v>0</v>
      </c>
      <c r="AJ20" s="48"/>
      <c r="AK20" s="48"/>
      <c r="AL20" s="48"/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</row>
    <row r="21" spans="2:44">
      <c r="B21" s="64" t="s">
        <v>188</v>
      </c>
      <c r="C21" s="48"/>
      <c r="D21" s="65" t="s">
        <v>281</v>
      </c>
      <c r="E21" s="48"/>
      <c r="F21" s="48"/>
      <c r="G21" s="48"/>
      <c r="H21" s="48"/>
      <c r="I21" s="48">
        <v>19200</v>
      </c>
      <c r="J21" s="48"/>
      <c r="K21" s="48"/>
      <c r="L21" s="48"/>
      <c r="M21" s="48"/>
      <c r="N21" s="63"/>
      <c r="O21" s="47"/>
      <c r="P21" s="43">
        <v>588314</v>
      </c>
      <c r="Q21" s="47">
        <v>0</v>
      </c>
      <c r="R21" s="47">
        <v>0</v>
      </c>
      <c r="S21" s="48">
        <v>38681</v>
      </c>
      <c r="T21" s="48"/>
      <c r="U21" s="48">
        <v>360</v>
      </c>
      <c r="V21" s="48">
        <v>0</v>
      </c>
      <c r="W21" s="49">
        <v>2200</v>
      </c>
      <c r="X21" s="50">
        <v>18100</v>
      </c>
      <c r="Y21" s="50">
        <v>543</v>
      </c>
      <c r="Z21" s="48">
        <v>0</v>
      </c>
      <c r="AA21" s="48">
        <v>0</v>
      </c>
      <c r="AB21" s="48"/>
      <c r="AC21" s="48">
        <v>0</v>
      </c>
      <c r="AD21" s="48">
        <v>0</v>
      </c>
      <c r="AE21" s="48">
        <v>0</v>
      </c>
      <c r="AF21" s="48"/>
      <c r="AG21" s="48">
        <v>0</v>
      </c>
      <c r="AH21" s="48">
        <v>0</v>
      </c>
      <c r="AI21" s="48">
        <v>0</v>
      </c>
      <c r="AJ21" s="48"/>
      <c r="AK21" s="48"/>
      <c r="AL21" s="48"/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</row>
    <row r="22" spans="2:44">
      <c r="B22" s="61" t="s">
        <v>189</v>
      </c>
      <c r="C22" s="48"/>
      <c r="D22" s="62" t="s">
        <v>282</v>
      </c>
      <c r="E22" s="48"/>
      <c r="F22" s="48"/>
      <c r="G22" s="48"/>
      <c r="H22" s="48"/>
      <c r="I22" s="48">
        <v>19200</v>
      </c>
      <c r="J22" s="48"/>
      <c r="K22" s="48"/>
      <c r="L22" s="48"/>
      <c r="M22" s="48"/>
      <c r="N22" s="63"/>
      <c r="O22" s="47"/>
      <c r="P22" s="43">
        <v>546148</v>
      </c>
      <c r="Q22" s="47">
        <v>0</v>
      </c>
      <c r="R22" s="47">
        <v>85306</v>
      </c>
      <c r="S22" s="48">
        <v>38681</v>
      </c>
      <c r="T22" s="48"/>
      <c r="U22" s="48">
        <v>360</v>
      </c>
      <c r="V22" s="48">
        <v>2875</v>
      </c>
      <c r="W22" s="49">
        <v>2200</v>
      </c>
      <c r="X22" s="50">
        <v>2450</v>
      </c>
      <c r="Y22" s="50">
        <v>74</v>
      </c>
      <c r="Z22" s="48">
        <v>15851</v>
      </c>
      <c r="AA22" s="48">
        <v>0</v>
      </c>
      <c r="AB22" s="48"/>
      <c r="AC22" s="48">
        <v>0</v>
      </c>
      <c r="AD22" s="48">
        <v>0</v>
      </c>
      <c r="AE22" s="48">
        <v>0</v>
      </c>
      <c r="AF22" s="48"/>
      <c r="AG22" s="48">
        <v>0</v>
      </c>
      <c r="AH22" s="48">
        <v>0</v>
      </c>
      <c r="AI22" s="48">
        <v>31920</v>
      </c>
      <c r="AJ22" s="48"/>
      <c r="AK22" s="48"/>
      <c r="AL22" s="48"/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1200</v>
      </c>
    </row>
    <row r="23" spans="2:44">
      <c r="B23" s="61" t="s">
        <v>190</v>
      </c>
      <c r="C23" s="48"/>
      <c r="D23" s="62" t="s">
        <v>283</v>
      </c>
      <c r="E23" s="48"/>
      <c r="F23" s="48"/>
      <c r="G23" s="48"/>
      <c r="H23" s="48"/>
      <c r="I23" s="48">
        <v>19200</v>
      </c>
      <c r="J23" s="48"/>
      <c r="K23" s="48"/>
      <c r="L23" s="48"/>
      <c r="M23" s="48"/>
      <c r="N23" s="63"/>
      <c r="O23" s="47"/>
      <c r="P23" s="43">
        <v>515128</v>
      </c>
      <c r="Q23" s="47">
        <v>0</v>
      </c>
      <c r="R23" s="47">
        <v>0</v>
      </c>
      <c r="S23" s="48">
        <v>38681</v>
      </c>
      <c r="T23" s="48"/>
      <c r="U23" s="48">
        <v>360</v>
      </c>
      <c r="V23" s="48">
        <v>0</v>
      </c>
      <c r="W23" s="49">
        <v>2200</v>
      </c>
      <c r="X23" s="50">
        <v>830</v>
      </c>
      <c r="Y23" s="50">
        <v>25</v>
      </c>
      <c r="Z23" s="48">
        <v>46430</v>
      </c>
      <c r="AA23" s="48">
        <v>92000</v>
      </c>
      <c r="AB23" s="48"/>
      <c r="AC23" s="48">
        <v>0</v>
      </c>
      <c r="AD23" s="48">
        <v>0</v>
      </c>
      <c r="AE23" s="48">
        <v>0</v>
      </c>
      <c r="AF23" s="48"/>
      <c r="AG23" s="48">
        <v>0</v>
      </c>
      <c r="AH23" s="48">
        <v>0</v>
      </c>
      <c r="AI23" s="48">
        <v>0</v>
      </c>
      <c r="AJ23" s="48"/>
      <c r="AK23" s="48"/>
      <c r="AL23" s="48"/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</row>
    <row r="24" spans="2:44">
      <c r="B24" s="61" t="s">
        <v>191</v>
      </c>
      <c r="C24" s="48"/>
      <c r="D24" s="62" t="s">
        <v>284</v>
      </c>
      <c r="E24" s="48"/>
      <c r="F24" s="48"/>
      <c r="G24" s="48"/>
      <c r="H24" s="48"/>
      <c r="I24" s="48">
        <v>19200</v>
      </c>
      <c r="J24" s="48"/>
      <c r="K24" s="48"/>
      <c r="L24" s="48"/>
      <c r="M24" s="48"/>
      <c r="N24" s="63"/>
      <c r="O24" s="47"/>
      <c r="P24" s="43">
        <v>513368</v>
      </c>
      <c r="Q24" s="47">
        <v>0</v>
      </c>
      <c r="R24" s="47">
        <v>0</v>
      </c>
      <c r="S24" s="48">
        <v>38681</v>
      </c>
      <c r="T24" s="48"/>
      <c r="U24" s="48">
        <v>360</v>
      </c>
      <c r="V24" s="48">
        <v>0</v>
      </c>
      <c r="W24" s="49">
        <v>2200</v>
      </c>
      <c r="X24" s="50">
        <v>7490</v>
      </c>
      <c r="Y24" s="50">
        <v>225</v>
      </c>
      <c r="Z24" s="48">
        <v>6210</v>
      </c>
      <c r="AA24" s="48">
        <v>13700</v>
      </c>
      <c r="AB24" s="48"/>
      <c r="AC24" s="48">
        <v>0</v>
      </c>
      <c r="AD24" s="48">
        <v>14940</v>
      </c>
      <c r="AE24" s="48">
        <v>0</v>
      </c>
      <c r="AF24" s="48"/>
      <c r="AG24" s="48">
        <v>0</v>
      </c>
      <c r="AH24" s="48">
        <v>10500</v>
      </c>
      <c r="AI24" s="48">
        <v>0</v>
      </c>
      <c r="AJ24" s="48"/>
      <c r="AK24" s="48"/>
      <c r="AL24" s="48"/>
      <c r="AM24" s="48">
        <v>7844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</row>
    <row r="25" spans="2:44">
      <c r="B25" s="61" t="s">
        <v>192</v>
      </c>
      <c r="C25" s="48"/>
      <c r="D25" s="62" t="s">
        <v>285</v>
      </c>
      <c r="E25" s="48"/>
      <c r="F25" s="48"/>
      <c r="G25" s="48"/>
      <c r="H25" s="48"/>
      <c r="I25" s="48">
        <v>19200</v>
      </c>
      <c r="J25" s="48"/>
      <c r="K25" s="48"/>
      <c r="L25" s="48"/>
      <c r="M25" s="48"/>
      <c r="N25" s="63"/>
      <c r="O25" s="47"/>
      <c r="P25" s="43">
        <v>535928</v>
      </c>
      <c r="Q25" s="47">
        <v>0</v>
      </c>
      <c r="R25" s="47">
        <v>105718</v>
      </c>
      <c r="S25" s="48">
        <v>39187</v>
      </c>
      <c r="T25" s="48"/>
      <c r="U25" s="48">
        <v>360</v>
      </c>
      <c r="V25" s="48">
        <v>0</v>
      </c>
      <c r="W25" s="49">
        <v>2200</v>
      </c>
      <c r="X25" s="50">
        <v>0</v>
      </c>
      <c r="Y25" s="50">
        <v>0</v>
      </c>
      <c r="Z25" s="48">
        <v>12010</v>
      </c>
      <c r="AA25" s="48">
        <v>0</v>
      </c>
      <c r="AB25" s="48"/>
      <c r="AC25" s="48">
        <v>43082</v>
      </c>
      <c r="AD25" s="48">
        <v>0</v>
      </c>
      <c r="AE25" s="48">
        <v>0</v>
      </c>
      <c r="AF25" s="48"/>
      <c r="AG25" s="48">
        <v>0</v>
      </c>
      <c r="AH25" s="48">
        <v>24000</v>
      </c>
      <c r="AI25" s="48">
        <v>0</v>
      </c>
      <c r="AJ25" s="48"/>
      <c r="AK25" s="48"/>
      <c r="AL25" s="48"/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</row>
    <row r="26" spans="2:44">
      <c r="B26" s="61" t="s">
        <v>193</v>
      </c>
      <c r="C26" s="48"/>
      <c r="D26" s="62" t="s">
        <v>286</v>
      </c>
      <c r="E26" s="48"/>
      <c r="F26" s="48"/>
      <c r="G26" s="48"/>
      <c r="H26" s="48"/>
      <c r="I26" s="48">
        <v>19200</v>
      </c>
      <c r="J26" s="48"/>
      <c r="K26" s="48"/>
      <c r="L26" s="48"/>
      <c r="M26" s="48"/>
      <c r="N26" s="63"/>
      <c r="O26" s="47"/>
      <c r="P26" s="43">
        <v>506634</v>
      </c>
      <c r="Q26" s="47">
        <v>0</v>
      </c>
      <c r="R26" s="47">
        <v>0</v>
      </c>
      <c r="S26" s="48">
        <v>38681</v>
      </c>
      <c r="T26" s="48"/>
      <c r="U26" s="48">
        <v>360</v>
      </c>
      <c r="V26" s="48">
        <v>0</v>
      </c>
      <c r="W26" s="49">
        <v>2200</v>
      </c>
      <c r="X26" s="50">
        <v>0</v>
      </c>
      <c r="Y26" s="50">
        <v>0</v>
      </c>
      <c r="Z26" s="48">
        <v>88462</v>
      </c>
      <c r="AA26" s="48">
        <v>96000</v>
      </c>
      <c r="AB26" s="48"/>
      <c r="AC26" s="48">
        <v>0</v>
      </c>
      <c r="AD26" s="48">
        <v>0</v>
      </c>
      <c r="AE26" s="48">
        <v>0</v>
      </c>
      <c r="AF26" s="48"/>
      <c r="AG26" s="48">
        <v>0</v>
      </c>
      <c r="AH26" s="48">
        <v>0</v>
      </c>
      <c r="AI26" s="48">
        <v>0</v>
      </c>
      <c r="AJ26" s="48"/>
      <c r="AK26" s="48"/>
      <c r="AL26" s="48"/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</row>
    <row r="27" spans="2:44">
      <c r="B27" s="61" t="s">
        <v>194</v>
      </c>
      <c r="C27" s="48"/>
      <c r="D27" s="62" t="s">
        <v>287</v>
      </c>
      <c r="E27" s="48"/>
      <c r="F27" s="48"/>
      <c r="G27" s="48"/>
      <c r="H27" s="48"/>
      <c r="I27" s="48">
        <v>19200</v>
      </c>
      <c r="J27" s="48"/>
      <c r="K27" s="48"/>
      <c r="L27" s="48"/>
      <c r="M27" s="48"/>
      <c r="N27" s="63"/>
      <c r="O27" s="47"/>
      <c r="P27" s="43">
        <v>490964</v>
      </c>
      <c r="Q27" s="47">
        <v>0</v>
      </c>
      <c r="R27" s="47">
        <v>149367</v>
      </c>
      <c r="S27" s="48">
        <v>36917</v>
      </c>
      <c r="T27" s="48"/>
      <c r="U27" s="48">
        <v>360</v>
      </c>
      <c r="V27" s="48">
        <v>0</v>
      </c>
      <c r="W27" s="49">
        <v>2200</v>
      </c>
      <c r="X27" s="50">
        <v>0</v>
      </c>
      <c r="Y27" s="50">
        <v>0</v>
      </c>
      <c r="Z27" s="48">
        <v>0</v>
      </c>
      <c r="AA27" s="48">
        <v>0</v>
      </c>
      <c r="AB27" s="48"/>
      <c r="AC27" s="48">
        <v>21606</v>
      </c>
      <c r="AD27" s="48">
        <v>0</v>
      </c>
      <c r="AE27" s="48">
        <v>0</v>
      </c>
      <c r="AF27" s="48"/>
      <c r="AG27" s="48">
        <v>0</v>
      </c>
      <c r="AH27" s="48">
        <v>0</v>
      </c>
      <c r="AI27" s="48">
        <v>0</v>
      </c>
      <c r="AJ27" s="48"/>
      <c r="AK27" s="48"/>
      <c r="AL27" s="48"/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</row>
    <row r="28" spans="2:44">
      <c r="B28" s="61" t="s">
        <v>366</v>
      </c>
      <c r="C28" s="48"/>
      <c r="D28" s="62" t="s">
        <v>288</v>
      </c>
      <c r="E28" s="48"/>
      <c r="F28" s="48"/>
      <c r="G28" s="48"/>
      <c r="H28" s="48"/>
      <c r="I28" s="48">
        <v>19200</v>
      </c>
      <c r="J28" s="48"/>
      <c r="K28" s="48"/>
      <c r="L28" s="48"/>
      <c r="M28" s="48"/>
      <c r="N28" s="63"/>
      <c r="O28" s="47"/>
      <c r="P28" s="43">
        <v>643568</v>
      </c>
      <c r="Q28" s="47">
        <v>0</v>
      </c>
      <c r="R28" s="47">
        <v>0</v>
      </c>
      <c r="S28" s="48">
        <v>49774</v>
      </c>
      <c r="T28" s="48"/>
      <c r="U28" s="48">
        <v>720</v>
      </c>
      <c r="V28" s="48">
        <v>5175</v>
      </c>
      <c r="W28" s="49">
        <v>2400</v>
      </c>
      <c r="X28" s="50">
        <v>8360</v>
      </c>
      <c r="Y28" s="50">
        <v>251</v>
      </c>
      <c r="Z28" s="48">
        <v>0</v>
      </c>
      <c r="AA28" s="48">
        <v>150000</v>
      </c>
      <c r="AB28" s="48"/>
      <c r="AC28" s="48">
        <v>0</v>
      </c>
      <c r="AD28" s="48">
        <v>0</v>
      </c>
      <c r="AE28" s="48">
        <v>0</v>
      </c>
      <c r="AF28" s="48"/>
      <c r="AG28" s="48">
        <v>0</v>
      </c>
      <c r="AH28" s="48">
        <v>0</v>
      </c>
      <c r="AI28" s="48">
        <v>0</v>
      </c>
      <c r="AJ28" s="48"/>
      <c r="AK28" s="48"/>
      <c r="AL28" s="48"/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</row>
    <row r="29" spans="2:44">
      <c r="B29" s="61" t="s">
        <v>195</v>
      </c>
      <c r="C29" s="48"/>
      <c r="D29" s="62" t="s">
        <v>289</v>
      </c>
      <c r="E29" s="48"/>
      <c r="F29" s="48"/>
      <c r="G29" s="48"/>
      <c r="H29" s="48"/>
      <c r="I29" s="48">
        <v>19200</v>
      </c>
      <c r="J29" s="48"/>
      <c r="K29" s="48"/>
      <c r="L29" s="48"/>
      <c r="M29" s="48"/>
      <c r="N29" s="63"/>
      <c r="O29" s="47"/>
      <c r="P29" s="43">
        <v>493364</v>
      </c>
      <c r="Q29" s="47">
        <v>23083</v>
      </c>
      <c r="R29" s="47">
        <v>0</v>
      </c>
      <c r="S29" s="48">
        <v>36917</v>
      </c>
      <c r="T29" s="48"/>
      <c r="U29" s="48">
        <v>360</v>
      </c>
      <c r="V29" s="48">
        <v>0</v>
      </c>
      <c r="W29" s="49">
        <v>2200</v>
      </c>
      <c r="X29" s="50">
        <v>6960</v>
      </c>
      <c r="Y29" s="50">
        <v>209</v>
      </c>
      <c r="Z29" s="48">
        <v>22598</v>
      </c>
      <c r="AA29" s="48">
        <v>0</v>
      </c>
      <c r="AB29" s="48"/>
      <c r="AC29" s="48">
        <v>0</v>
      </c>
      <c r="AD29" s="48">
        <v>0</v>
      </c>
      <c r="AE29" s="48">
        <v>0</v>
      </c>
      <c r="AF29" s="48"/>
      <c r="AG29" s="48">
        <v>0</v>
      </c>
      <c r="AH29" s="48">
        <v>0</v>
      </c>
      <c r="AI29" s="48">
        <v>0</v>
      </c>
      <c r="AJ29" s="48"/>
      <c r="AK29" s="48"/>
      <c r="AL29" s="48"/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</row>
    <row r="30" spans="2:44">
      <c r="B30" s="61" t="s">
        <v>196</v>
      </c>
      <c r="C30" s="48"/>
      <c r="D30" s="62" t="s">
        <v>290</v>
      </c>
      <c r="E30" s="48"/>
      <c r="F30" s="48"/>
      <c r="G30" s="48"/>
      <c r="H30" s="48"/>
      <c r="I30" s="48">
        <v>19200</v>
      </c>
      <c r="J30" s="48"/>
      <c r="K30" s="48"/>
      <c r="L30" s="48"/>
      <c r="M30" s="48"/>
      <c r="N30" s="63"/>
      <c r="O30" s="47"/>
      <c r="P30" s="43">
        <v>509706</v>
      </c>
      <c r="Q30" s="47">
        <v>52901</v>
      </c>
      <c r="R30" s="47">
        <v>0</v>
      </c>
      <c r="S30" s="48">
        <v>38099</v>
      </c>
      <c r="T30" s="48"/>
      <c r="U30" s="48">
        <v>360</v>
      </c>
      <c r="V30" s="48">
        <v>2875</v>
      </c>
      <c r="W30" s="49">
        <v>2200</v>
      </c>
      <c r="X30" s="50">
        <v>1000</v>
      </c>
      <c r="Y30" s="50">
        <v>30</v>
      </c>
      <c r="Z30" s="48">
        <v>68165</v>
      </c>
      <c r="AA30" s="48">
        <v>0</v>
      </c>
      <c r="AB30" s="48"/>
      <c r="AC30" s="48">
        <v>0</v>
      </c>
      <c r="AD30" s="48">
        <v>14100</v>
      </c>
      <c r="AE30" s="48">
        <v>0</v>
      </c>
      <c r="AF30" s="48"/>
      <c r="AG30" s="48">
        <v>0</v>
      </c>
      <c r="AH30" s="48">
        <v>0</v>
      </c>
      <c r="AI30" s="48">
        <v>0</v>
      </c>
      <c r="AJ30" s="48"/>
      <c r="AK30" s="48"/>
      <c r="AL30" s="48"/>
      <c r="AM30" s="48">
        <v>0</v>
      </c>
      <c r="AN30" s="48">
        <v>0</v>
      </c>
      <c r="AO30" s="48">
        <v>6000</v>
      </c>
      <c r="AP30" s="48">
        <v>0</v>
      </c>
      <c r="AQ30" s="48">
        <v>0</v>
      </c>
      <c r="AR30" s="48">
        <v>0</v>
      </c>
    </row>
    <row r="31" spans="2:44">
      <c r="B31" s="61" t="s">
        <v>197</v>
      </c>
      <c r="C31" s="48"/>
      <c r="D31" s="62" t="s">
        <v>291</v>
      </c>
      <c r="E31" s="48"/>
      <c r="F31" s="48"/>
      <c r="G31" s="48"/>
      <c r="H31" s="48"/>
      <c r="I31" s="48">
        <v>19200</v>
      </c>
      <c r="J31" s="48"/>
      <c r="K31" s="48"/>
      <c r="L31" s="48"/>
      <c r="M31" s="48"/>
      <c r="N31" s="63"/>
      <c r="O31" s="47"/>
      <c r="P31" s="43">
        <v>643568</v>
      </c>
      <c r="Q31" s="47">
        <v>0</v>
      </c>
      <c r="R31" s="47">
        <v>0</v>
      </c>
      <c r="S31" s="48">
        <v>49774</v>
      </c>
      <c r="T31" s="48"/>
      <c r="U31" s="48">
        <v>720</v>
      </c>
      <c r="V31" s="48">
        <v>0</v>
      </c>
      <c r="W31" s="49">
        <v>2400</v>
      </c>
      <c r="X31" s="50">
        <v>26800</v>
      </c>
      <c r="Y31" s="50">
        <v>804</v>
      </c>
      <c r="Z31" s="48">
        <v>0</v>
      </c>
      <c r="AA31" s="48">
        <v>0</v>
      </c>
      <c r="AB31" s="48"/>
      <c r="AC31" s="48">
        <v>0</v>
      </c>
      <c r="AD31" s="48">
        <v>0</v>
      </c>
      <c r="AE31" s="48">
        <v>0</v>
      </c>
      <c r="AF31" s="48"/>
      <c r="AG31" s="48">
        <v>0</v>
      </c>
      <c r="AH31" s="48">
        <v>0</v>
      </c>
      <c r="AI31" s="48">
        <v>0</v>
      </c>
      <c r="AJ31" s="48"/>
      <c r="AK31" s="48"/>
      <c r="AL31" s="48"/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</row>
    <row r="32" spans="2:44">
      <c r="B32" s="61" t="s">
        <v>198</v>
      </c>
      <c r="C32" s="48"/>
      <c r="D32" s="62" t="s">
        <v>292</v>
      </c>
      <c r="E32" s="48"/>
      <c r="F32" s="48"/>
      <c r="G32" s="48"/>
      <c r="H32" s="48"/>
      <c r="I32" s="48">
        <v>19200</v>
      </c>
      <c r="J32" s="48"/>
      <c r="K32" s="48"/>
      <c r="L32" s="48"/>
      <c r="M32" s="48"/>
      <c r="N32" s="63"/>
      <c r="O32" s="47"/>
      <c r="P32" s="43">
        <v>661052</v>
      </c>
      <c r="Q32" s="47">
        <v>0</v>
      </c>
      <c r="R32" s="47">
        <v>126141</v>
      </c>
      <c r="S32" s="48">
        <v>51284</v>
      </c>
      <c r="T32" s="48"/>
      <c r="U32" s="48">
        <v>720</v>
      </c>
      <c r="V32" s="48">
        <v>0</v>
      </c>
      <c r="W32" s="49">
        <v>2400</v>
      </c>
      <c r="X32" s="50">
        <v>7840</v>
      </c>
      <c r="Y32" s="50">
        <v>235</v>
      </c>
      <c r="Z32" s="48">
        <v>14118</v>
      </c>
      <c r="AA32" s="48">
        <v>20000</v>
      </c>
      <c r="AB32" s="48"/>
      <c r="AC32" s="48">
        <v>17459</v>
      </c>
      <c r="AD32" s="48">
        <v>0</v>
      </c>
      <c r="AE32" s="48">
        <v>0</v>
      </c>
      <c r="AF32" s="48"/>
      <c r="AG32" s="48">
        <v>0</v>
      </c>
      <c r="AH32" s="48">
        <v>0</v>
      </c>
      <c r="AI32" s="48">
        <v>0</v>
      </c>
      <c r="AJ32" s="48"/>
      <c r="AK32" s="48"/>
      <c r="AL32" s="48"/>
      <c r="AM32" s="48">
        <v>0</v>
      </c>
      <c r="AN32" s="48">
        <v>0</v>
      </c>
      <c r="AO32" s="48">
        <v>0</v>
      </c>
      <c r="AP32" s="48">
        <v>0</v>
      </c>
      <c r="AQ32" s="48">
        <v>3000</v>
      </c>
      <c r="AR32" s="48">
        <v>0</v>
      </c>
    </row>
    <row r="33" spans="2:44">
      <c r="B33" s="64" t="s">
        <v>199</v>
      </c>
      <c r="C33" s="48"/>
      <c r="D33" s="65" t="s">
        <v>293</v>
      </c>
      <c r="E33" s="48"/>
      <c r="F33" s="48"/>
      <c r="G33" s="48"/>
      <c r="H33" s="48"/>
      <c r="I33" s="48">
        <v>19200</v>
      </c>
      <c r="J33" s="48"/>
      <c r="K33" s="48"/>
      <c r="L33" s="48"/>
      <c r="M33" s="48"/>
      <c r="N33" s="63"/>
      <c r="O33" s="47"/>
      <c r="P33" s="43">
        <v>559628</v>
      </c>
      <c r="Q33" s="47">
        <v>0</v>
      </c>
      <c r="R33" s="47">
        <v>0</v>
      </c>
      <c r="S33" s="48">
        <v>49774</v>
      </c>
      <c r="T33" s="48"/>
      <c r="U33" s="48">
        <v>720</v>
      </c>
      <c r="V33" s="48">
        <v>5175</v>
      </c>
      <c r="W33" s="49">
        <v>2400</v>
      </c>
      <c r="X33" s="50">
        <v>7340</v>
      </c>
      <c r="Y33" s="50">
        <v>220</v>
      </c>
      <c r="Z33" s="48">
        <v>18015</v>
      </c>
      <c r="AA33" s="48">
        <v>50000</v>
      </c>
      <c r="AB33" s="48"/>
      <c r="AC33" s="48">
        <v>0</v>
      </c>
      <c r="AD33" s="48">
        <v>17700</v>
      </c>
      <c r="AE33" s="48">
        <v>0</v>
      </c>
      <c r="AF33" s="48"/>
      <c r="AG33" s="48">
        <v>0</v>
      </c>
      <c r="AH33" s="48">
        <v>0</v>
      </c>
      <c r="AI33" s="48">
        <v>0</v>
      </c>
      <c r="AJ33" s="48"/>
      <c r="AK33" s="48"/>
      <c r="AL33" s="48"/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</row>
    <row r="34" spans="2:44">
      <c r="B34" s="61" t="s">
        <v>200</v>
      </c>
      <c r="C34" s="48"/>
      <c r="D34" s="62" t="s">
        <v>294</v>
      </c>
      <c r="E34" s="48"/>
      <c r="F34" s="48"/>
      <c r="G34" s="48"/>
      <c r="H34" s="48"/>
      <c r="I34" s="48">
        <v>19200</v>
      </c>
      <c r="J34" s="48"/>
      <c r="K34" s="48"/>
      <c r="L34" s="48"/>
      <c r="M34" s="48"/>
      <c r="N34" s="63"/>
      <c r="O34" s="47"/>
      <c r="P34" s="43">
        <v>661424</v>
      </c>
      <c r="Q34" s="47">
        <v>32716</v>
      </c>
      <c r="R34" s="47">
        <v>0</v>
      </c>
      <c r="S34" s="48">
        <v>51284</v>
      </c>
      <c r="T34" s="48"/>
      <c r="U34" s="48">
        <v>720</v>
      </c>
      <c r="V34" s="48">
        <v>0</v>
      </c>
      <c r="W34" s="49">
        <v>2400</v>
      </c>
      <c r="X34" s="50">
        <v>14520</v>
      </c>
      <c r="Y34" s="50">
        <v>436</v>
      </c>
      <c r="Z34" s="48">
        <v>34180</v>
      </c>
      <c r="AA34" s="48">
        <v>0</v>
      </c>
      <c r="AB34" s="48"/>
      <c r="AC34" s="48">
        <v>0</v>
      </c>
      <c r="AD34" s="48">
        <v>0</v>
      </c>
      <c r="AE34" s="48">
        <v>0</v>
      </c>
      <c r="AF34" s="48"/>
      <c r="AG34" s="48">
        <v>0</v>
      </c>
      <c r="AH34" s="48">
        <v>0</v>
      </c>
      <c r="AI34" s="48">
        <v>0</v>
      </c>
      <c r="AJ34" s="48"/>
      <c r="AK34" s="48"/>
      <c r="AL34" s="48"/>
      <c r="AM34" s="48">
        <v>10851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</row>
    <row r="35" spans="2:44">
      <c r="B35" s="61" t="s">
        <v>201</v>
      </c>
      <c r="C35" s="48"/>
      <c r="D35" s="62" t="s">
        <v>295</v>
      </c>
      <c r="E35" s="48"/>
      <c r="F35" s="48"/>
      <c r="G35" s="48"/>
      <c r="H35" s="48"/>
      <c r="I35" s="48">
        <v>19200</v>
      </c>
      <c r="J35" s="48"/>
      <c r="K35" s="48"/>
      <c r="L35" s="48"/>
      <c r="M35" s="48"/>
      <c r="N35" s="63"/>
      <c r="O35" s="47"/>
      <c r="P35" s="43">
        <v>349988</v>
      </c>
      <c r="Q35" s="47">
        <v>0</v>
      </c>
      <c r="R35" s="47">
        <v>0</v>
      </c>
      <c r="S35" s="48">
        <v>26842</v>
      </c>
      <c r="T35" s="48"/>
      <c r="U35" s="48">
        <v>360</v>
      </c>
      <c r="V35" s="48">
        <v>1792</v>
      </c>
      <c r="W35" s="49">
        <v>1800</v>
      </c>
      <c r="X35" s="50">
        <v>0</v>
      </c>
      <c r="Y35" s="50">
        <v>0</v>
      </c>
      <c r="Z35" s="48">
        <v>0</v>
      </c>
      <c r="AA35" s="48">
        <v>0</v>
      </c>
      <c r="AB35" s="48"/>
      <c r="AC35" s="48">
        <v>0</v>
      </c>
      <c r="AD35" s="48">
        <v>0</v>
      </c>
      <c r="AE35" s="48">
        <v>0</v>
      </c>
      <c r="AF35" s="48"/>
      <c r="AG35" s="48">
        <v>0</v>
      </c>
      <c r="AH35" s="48">
        <v>0</v>
      </c>
      <c r="AI35" s="48">
        <v>0</v>
      </c>
      <c r="AJ35" s="48"/>
      <c r="AK35" s="48"/>
      <c r="AL35" s="48"/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</row>
    <row r="36" spans="2:44">
      <c r="B36" s="61" t="s">
        <v>202</v>
      </c>
      <c r="C36" s="48"/>
      <c r="D36" s="62" t="s">
        <v>296</v>
      </c>
      <c r="E36" s="48"/>
      <c r="F36" s="48"/>
      <c r="G36" s="48"/>
      <c r="H36" s="48"/>
      <c r="I36" s="48">
        <v>19200</v>
      </c>
      <c r="J36" s="48"/>
      <c r="K36" s="48"/>
      <c r="L36" s="48"/>
      <c r="M36" s="48"/>
      <c r="N36" s="63"/>
      <c r="O36" s="47"/>
      <c r="P36" s="43">
        <v>642720</v>
      </c>
      <c r="Q36" s="47">
        <v>0</v>
      </c>
      <c r="R36" s="47">
        <v>0</v>
      </c>
      <c r="S36" s="48">
        <v>49708</v>
      </c>
      <c r="T36" s="48"/>
      <c r="U36" s="48">
        <v>720</v>
      </c>
      <c r="V36" s="48">
        <v>3225</v>
      </c>
      <c r="W36" s="49">
        <v>2400</v>
      </c>
      <c r="X36" s="50">
        <v>14000</v>
      </c>
      <c r="Y36" s="50">
        <v>420</v>
      </c>
      <c r="Z36" s="48">
        <v>37899</v>
      </c>
      <c r="AA36" s="48">
        <v>120000</v>
      </c>
      <c r="AB36" s="48"/>
      <c r="AC36" s="48">
        <v>0</v>
      </c>
      <c r="AD36" s="48">
        <v>0</v>
      </c>
      <c r="AE36" s="48">
        <v>0</v>
      </c>
      <c r="AF36" s="48"/>
      <c r="AG36" s="48">
        <v>0</v>
      </c>
      <c r="AH36" s="48">
        <v>0</v>
      </c>
      <c r="AI36" s="48">
        <v>0</v>
      </c>
      <c r="AJ36" s="48"/>
      <c r="AK36" s="48"/>
      <c r="AL36" s="48"/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</row>
    <row r="37" spans="2:44">
      <c r="B37" s="61" t="s">
        <v>203</v>
      </c>
      <c r="C37" s="48"/>
      <c r="D37" s="62" t="s">
        <v>297</v>
      </c>
      <c r="E37" s="48"/>
      <c r="F37" s="48"/>
      <c r="G37" s="48"/>
      <c r="H37" s="48"/>
      <c r="I37" s="48">
        <v>19200</v>
      </c>
      <c r="J37" s="48"/>
      <c r="K37" s="48"/>
      <c r="L37" s="48"/>
      <c r="M37" s="48"/>
      <c r="N37" s="63"/>
      <c r="O37" s="47"/>
      <c r="P37" s="43">
        <v>643520</v>
      </c>
      <c r="Q37" s="47">
        <v>0</v>
      </c>
      <c r="R37" s="47">
        <v>0</v>
      </c>
      <c r="S37" s="48">
        <v>49774</v>
      </c>
      <c r="T37" s="48"/>
      <c r="U37" s="48">
        <v>720</v>
      </c>
      <c r="V37" s="48">
        <v>7234</v>
      </c>
      <c r="W37" s="49">
        <v>2400</v>
      </c>
      <c r="X37" s="50">
        <v>12470</v>
      </c>
      <c r="Y37" s="50">
        <v>374</v>
      </c>
      <c r="Z37" s="48">
        <v>14869</v>
      </c>
      <c r="AA37" s="48">
        <v>50000</v>
      </c>
      <c r="AB37" s="48"/>
      <c r="AC37" s="48">
        <v>0</v>
      </c>
      <c r="AD37" s="48">
        <v>0</v>
      </c>
      <c r="AE37" s="48">
        <v>0</v>
      </c>
      <c r="AF37" s="48"/>
      <c r="AG37" s="48">
        <v>0</v>
      </c>
      <c r="AH37" s="48">
        <v>0</v>
      </c>
      <c r="AI37" s="48">
        <v>0</v>
      </c>
      <c r="AJ37" s="48"/>
      <c r="AK37" s="48"/>
      <c r="AL37" s="48"/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</row>
    <row r="38" spans="2:44">
      <c r="B38" s="61" t="s">
        <v>204</v>
      </c>
      <c r="C38" s="48"/>
      <c r="D38" s="62" t="s">
        <v>298</v>
      </c>
      <c r="E38" s="48"/>
      <c r="F38" s="48"/>
      <c r="G38" s="48"/>
      <c r="H38" s="48"/>
      <c r="I38" s="48">
        <v>19200</v>
      </c>
      <c r="J38" s="48"/>
      <c r="K38" s="48"/>
      <c r="L38" s="48"/>
      <c r="M38" s="48"/>
      <c r="N38" s="63"/>
      <c r="O38" s="47"/>
      <c r="P38" s="43">
        <v>493364</v>
      </c>
      <c r="Q38" s="47">
        <v>0</v>
      </c>
      <c r="R38" s="47">
        <v>151363</v>
      </c>
      <c r="S38" s="48">
        <v>36917</v>
      </c>
      <c r="T38" s="48"/>
      <c r="U38" s="48">
        <v>360</v>
      </c>
      <c r="V38" s="48">
        <v>1792</v>
      </c>
      <c r="W38" s="49">
        <v>2200</v>
      </c>
      <c r="X38" s="50">
        <v>0</v>
      </c>
      <c r="Y38" s="50">
        <v>0</v>
      </c>
      <c r="Z38" s="48">
        <v>12248</v>
      </c>
      <c r="AA38" s="48">
        <v>0</v>
      </c>
      <c r="AB38" s="48"/>
      <c r="AC38" s="48">
        <v>80689</v>
      </c>
      <c r="AD38" s="48">
        <v>0</v>
      </c>
      <c r="AE38" s="48">
        <v>0</v>
      </c>
      <c r="AF38" s="48"/>
      <c r="AG38" s="48">
        <v>0</v>
      </c>
      <c r="AH38" s="48">
        <v>0</v>
      </c>
      <c r="AI38" s="48">
        <v>0</v>
      </c>
      <c r="AJ38" s="48"/>
      <c r="AK38" s="48"/>
      <c r="AL38" s="48"/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</row>
    <row r="39" spans="2:44">
      <c r="B39" s="61" t="s">
        <v>205</v>
      </c>
      <c r="C39" s="48"/>
      <c r="D39" s="62" t="s">
        <v>299</v>
      </c>
      <c r="E39" s="48"/>
      <c r="F39" s="48"/>
      <c r="G39" s="48"/>
      <c r="H39" s="48"/>
      <c r="I39" s="48">
        <v>19200</v>
      </c>
      <c r="J39" s="48"/>
      <c r="K39" s="48"/>
      <c r="L39" s="48"/>
      <c r="M39" s="48"/>
      <c r="N39" s="63"/>
      <c r="O39" s="47"/>
      <c r="P39" s="43">
        <v>658517</v>
      </c>
      <c r="Q39" s="47">
        <v>0</v>
      </c>
      <c r="R39" s="47">
        <v>0</v>
      </c>
      <c r="S39" s="48">
        <v>51155</v>
      </c>
      <c r="T39" s="48"/>
      <c r="U39" s="48">
        <v>720</v>
      </c>
      <c r="V39" s="48">
        <v>0</v>
      </c>
      <c r="W39" s="49">
        <v>2400</v>
      </c>
      <c r="X39" s="50">
        <v>18030</v>
      </c>
      <c r="Y39" s="50">
        <v>541</v>
      </c>
      <c r="Z39" s="48">
        <v>12967</v>
      </c>
      <c r="AA39" s="48">
        <v>15000</v>
      </c>
      <c r="AB39" s="48"/>
      <c r="AC39" s="48">
        <v>0</v>
      </c>
      <c r="AD39" s="48">
        <v>0</v>
      </c>
      <c r="AE39" s="48">
        <v>0</v>
      </c>
      <c r="AF39" s="48"/>
      <c r="AG39" s="48">
        <v>0</v>
      </c>
      <c r="AH39" s="48">
        <v>12000</v>
      </c>
      <c r="AI39" s="48">
        <v>0</v>
      </c>
      <c r="AJ39" s="48"/>
      <c r="AK39" s="48"/>
      <c r="AL39" s="48"/>
      <c r="AM39" s="48">
        <v>18085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</row>
    <row r="40" spans="2:44">
      <c r="B40" s="61" t="s">
        <v>206</v>
      </c>
      <c r="C40" s="48"/>
      <c r="D40" s="62" t="s">
        <v>300</v>
      </c>
      <c r="E40" s="48"/>
      <c r="F40" s="48"/>
      <c r="G40" s="48"/>
      <c r="H40" s="48"/>
      <c r="I40" s="48">
        <v>19200</v>
      </c>
      <c r="J40" s="48"/>
      <c r="K40" s="48"/>
      <c r="L40" s="48"/>
      <c r="M40" s="48"/>
      <c r="N40" s="63"/>
      <c r="O40" s="47"/>
      <c r="P40" s="43">
        <v>643520</v>
      </c>
      <c r="Q40" s="47">
        <v>0</v>
      </c>
      <c r="R40" s="47">
        <v>160868</v>
      </c>
      <c r="S40" s="48">
        <v>49774</v>
      </c>
      <c r="T40" s="48"/>
      <c r="U40" s="48">
        <v>720</v>
      </c>
      <c r="V40" s="48">
        <v>3225</v>
      </c>
      <c r="W40" s="49">
        <v>2400</v>
      </c>
      <c r="X40" s="50">
        <v>0</v>
      </c>
      <c r="Y40" s="50">
        <v>0</v>
      </c>
      <c r="Z40" s="48">
        <v>15040</v>
      </c>
      <c r="AA40" s="48">
        <v>70000</v>
      </c>
      <c r="AB40" s="48"/>
      <c r="AC40" s="48">
        <v>76857</v>
      </c>
      <c r="AD40" s="48">
        <v>0</v>
      </c>
      <c r="AE40" s="48">
        <v>0</v>
      </c>
      <c r="AF40" s="48"/>
      <c r="AG40" s="48">
        <v>0</v>
      </c>
      <c r="AH40" s="48">
        <v>0</v>
      </c>
      <c r="AI40" s="48">
        <v>0</v>
      </c>
      <c r="AJ40" s="48"/>
      <c r="AK40" s="48"/>
      <c r="AL40" s="48"/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</row>
    <row r="41" spans="2:44">
      <c r="B41" s="61" t="s">
        <v>207</v>
      </c>
      <c r="C41" s="48"/>
      <c r="D41" s="62" t="s">
        <v>301</v>
      </c>
      <c r="E41" s="48"/>
      <c r="F41" s="48"/>
      <c r="G41" s="48"/>
      <c r="H41" s="48"/>
      <c r="I41" s="48">
        <v>19200</v>
      </c>
      <c r="J41" s="48"/>
      <c r="K41" s="48"/>
      <c r="L41" s="48"/>
      <c r="M41" s="48"/>
      <c r="N41" s="63"/>
      <c r="O41" s="47"/>
      <c r="P41" s="43">
        <v>643520</v>
      </c>
      <c r="Q41" s="47">
        <v>48926</v>
      </c>
      <c r="R41" s="47">
        <v>0</v>
      </c>
      <c r="S41" s="48">
        <v>49774</v>
      </c>
      <c r="T41" s="48"/>
      <c r="U41" s="48">
        <v>720</v>
      </c>
      <c r="V41" s="48">
        <v>3225</v>
      </c>
      <c r="W41" s="49">
        <v>2400</v>
      </c>
      <c r="X41" s="50">
        <v>16360</v>
      </c>
      <c r="Y41" s="50">
        <v>491</v>
      </c>
      <c r="Z41" s="48">
        <v>0</v>
      </c>
      <c r="AA41" s="48">
        <v>0</v>
      </c>
      <c r="AB41" s="48"/>
      <c r="AC41" s="48">
        <v>0</v>
      </c>
      <c r="AD41" s="48">
        <v>0</v>
      </c>
      <c r="AE41" s="48">
        <v>0</v>
      </c>
      <c r="AF41" s="48"/>
      <c r="AG41" s="48">
        <v>0</v>
      </c>
      <c r="AH41" s="48">
        <v>0</v>
      </c>
      <c r="AI41" s="48">
        <v>0</v>
      </c>
      <c r="AJ41" s="48"/>
      <c r="AK41" s="48"/>
      <c r="AL41" s="48"/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</row>
    <row r="42" spans="2:44">
      <c r="B42" s="61" t="s">
        <v>208</v>
      </c>
      <c r="C42" s="48"/>
      <c r="D42" s="62" t="s">
        <v>302</v>
      </c>
      <c r="E42" s="48"/>
      <c r="F42" s="48"/>
      <c r="G42" s="48"/>
      <c r="H42" s="48"/>
      <c r="I42" s="48">
        <v>19200</v>
      </c>
      <c r="J42" s="48"/>
      <c r="K42" s="48"/>
      <c r="L42" s="48"/>
      <c r="M42" s="48"/>
      <c r="N42" s="63"/>
      <c r="O42" s="47"/>
      <c r="P42" s="43">
        <v>643520</v>
      </c>
      <c r="Q42" s="47">
        <v>0</v>
      </c>
      <c r="R42" s="47">
        <v>0</v>
      </c>
      <c r="S42" s="48">
        <v>49774</v>
      </c>
      <c r="T42" s="48"/>
      <c r="U42" s="48">
        <v>720</v>
      </c>
      <c r="V42" s="48">
        <v>3225</v>
      </c>
      <c r="W42" s="49">
        <v>2400</v>
      </c>
      <c r="X42" s="50">
        <v>24940</v>
      </c>
      <c r="Y42" s="50">
        <v>748</v>
      </c>
      <c r="Z42" s="48">
        <v>6064</v>
      </c>
      <c r="AA42" s="48">
        <v>0</v>
      </c>
      <c r="AB42" s="48"/>
      <c r="AC42" s="48">
        <v>0</v>
      </c>
      <c r="AD42" s="48">
        <v>0</v>
      </c>
      <c r="AE42" s="48">
        <v>0</v>
      </c>
      <c r="AF42" s="48"/>
      <c r="AG42" s="48">
        <v>0</v>
      </c>
      <c r="AH42" s="48">
        <v>0</v>
      </c>
      <c r="AI42" s="48">
        <v>0</v>
      </c>
      <c r="AJ42" s="48"/>
      <c r="AK42" s="48"/>
      <c r="AL42" s="48"/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</row>
    <row r="43" spans="2:44">
      <c r="B43" s="61" t="s">
        <v>209</v>
      </c>
      <c r="C43" s="48"/>
      <c r="D43" s="62" t="s">
        <v>303</v>
      </c>
      <c r="E43" s="48"/>
      <c r="F43" s="48"/>
      <c r="G43" s="48"/>
      <c r="H43" s="48"/>
      <c r="I43" s="48">
        <v>19200</v>
      </c>
      <c r="J43" s="48"/>
      <c r="K43" s="48"/>
      <c r="L43" s="48"/>
      <c r="M43" s="48"/>
      <c r="N43" s="63"/>
      <c r="O43" s="47"/>
      <c r="P43" s="43">
        <v>549248</v>
      </c>
      <c r="Q43" s="47">
        <v>0</v>
      </c>
      <c r="R43" s="47">
        <v>0</v>
      </c>
      <c r="S43" s="48">
        <v>49774</v>
      </c>
      <c r="T43" s="48"/>
      <c r="U43" s="48">
        <v>720</v>
      </c>
      <c r="V43" s="48">
        <v>5175</v>
      </c>
      <c r="W43" s="49">
        <v>2400</v>
      </c>
      <c r="X43" s="50">
        <v>2150</v>
      </c>
      <c r="Y43" s="50">
        <v>65</v>
      </c>
      <c r="Z43" s="48">
        <v>42124</v>
      </c>
      <c r="AA43" s="48">
        <v>36000</v>
      </c>
      <c r="AB43" s="48"/>
      <c r="AC43" s="48">
        <v>0</v>
      </c>
      <c r="AD43" s="48">
        <v>0</v>
      </c>
      <c r="AE43" s="48">
        <v>0</v>
      </c>
      <c r="AF43" s="48"/>
      <c r="AG43" s="48">
        <v>0</v>
      </c>
      <c r="AH43" s="48">
        <v>0</v>
      </c>
      <c r="AI43" s="48">
        <v>0</v>
      </c>
      <c r="AJ43" s="48"/>
      <c r="AK43" s="48"/>
      <c r="AL43" s="48"/>
      <c r="AM43" s="48">
        <v>0</v>
      </c>
      <c r="AN43" s="48">
        <v>0</v>
      </c>
      <c r="AO43" s="48">
        <v>51000</v>
      </c>
      <c r="AP43" s="48">
        <v>0</v>
      </c>
      <c r="AQ43" s="48">
        <v>0</v>
      </c>
      <c r="AR43" s="48">
        <v>0</v>
      </c>
    </row>
    <row r="44" spans="2:44">
      <c r="B44" s="61" t="s">
        <v>210</v>
      </c>
      <c r="C44" s="48"/>
      <c r="D44" s="62" t="s">
        <v>304</v>
      </c>
      <c r="E44" s="48"/>
      <c r="F44" s="48"/>
      <c r="G44" s="48"/>
      <c r="H44" s="48"/>
      <c r="I44" s="48">
        <v>19200</v>
      </c>
      <c r="J44" s="48"/>
      <c r="K44" s="48"/>
      <c r="L44" s="48"/>
      <c r="M44" s="48"/>
      <c r="N44" s="63"/>
      <c r="O44" s="47"/>
      <c r="P44" s="43">
        <v>643520</v>
      </c>
      <c r="Q44" s="47">
        <v>0</v>
      </c>
      <c r="R44" s="47">
        <v>38393</v>
      </c>
      <c r="S44" s="48">
        <v>49774</v>
      </c>
      <c r="T44" s="48"/>
      <c r="U44" s="48">
        <v>720</v>
      </c>
      <c r="V44" s="48">
        <v>3225</v>
      </c>
      <c r="W44" s="49">
        <v>2400</v>
      </c>
      <c r="X44" s="50">
        <v>6530</v>
      </c>
      <c r="Y44" s="50">
        <v>196</v>
      </c>
      <c r="Z44" s="48">
        <v>0</v>
      </c>
      <c r="AA44" s="48">
        <v>0</v>
      </c>
      <c r="AB44" s="48"/>
      <c r="AC44" s="48">
        <v>0</v>
      </c>
      <c r="AD44" s="48">
        <v>0</v>
      </c>
      <c r="AE44" s="48">
        <v>0</v>
      </c>
      <c r="AF44" s="48"/>
      <c r="AG44" s="48">
        <v>135170</v>
      </c>
      <c r="AH44" s="48">
        <v>0</v>
      </c>
      <c r="AI44" s="48">
        <v>0</v>
      </c>
      <c r="AJ44" s="48"/>
      <c r="AK44" s="48"/>
      <c r="AL44" s="48"/>
      <c r="AM44" s="48">
        <v>0</v>
      </c>
      <c r="AN44" s="48">
        <v>22539</v>
      </c>
      <c r="AO44" s="48">
        <v>0</v>
      </c>
      <c r="AP44" s="48">
        <v>0</v>
      </c>
      <c r="AQ44" s="48">
        <v>0</v>
      </c>
      <c r="AR44" s="48">
        <v>0</v>
      </c>
    </row>
    <row r="45" spans="2:44" s="54" customFormat="1">
      <c r="B45" s="66" t="s">
        <v>211</v>
      </c>
      <c r="C45" s="55"/>
      <c r="D45" s="67" t="s">
        <v>305</v>
      </c>
      <c r="E45" s="55"/>
      <c r="F45" s="55"/>
      <c r="G45" s="55"/>
      <c r="H45" s="55"/>
      <c r="I45" s="55">
        <v>19200</v>
      </c>
      <c r="J45" s="55"/>
      <c r="K45" s="55"/>
      <c r="L45" s="55"/>
      <c r="M45" s="55"/>
      <c r="N45" s="55"/>
      <c r="O45" s="55"/>
      <c r="P45" s="43">
        <v>643951</v>
      </c>
      <c r="Q45" s="47">
        <v>0</v>
      </c>
      <c r="R45" s="47">
        <v>0</v>
      </c>
      <c r="S45" s="55">
        <v>49653</v>
      </c>
      <c r="T45" s="55"/>
      <c r="U45" s="55">
        <v>720</v>
      </c>
      <c r="V45" s="55">
        <v>6975</v>
      </c>
      <c r="W45" s="56">
        <v>2400</v>
      </c>
      <c r="X45" s="57">
        <v>11920</v>
      </c>
      <c r="Y45" s="57">
        <v>358</v>
      </c>
      <c r="Z45" s="55">
        <v>0</v>
      </c>
      <c r="AA45" s="55">
        <v>15000</v>
      </c>
      <c r="AB45" s="55"/>
      <c r="AC45" s="55">
        <v>0</v>
      </c>
      <c r="AD45" s="55">
        <v>61800</v>
      </c>
      <c r="AE45" s="55">
        <v>0</v>
      </c>
      <c r="AF45" s="55"/>
      <c r="AG45" s="55">
        <v>0</v>
      </c>
      <c r="AH45" s="55">
        <v>0</v>
      </c>
      <c r="AI45" s="55">
        <v>0</v>
      </c>
      <c r="AJ45" s="55"/>
      <c r="AK45" s="55"/>
      <c r="AL45" s="55"/>
      <c r="AM45" s="55">
        <v>0</v>
      </c>
      <c r="AN45" s="55">
        <v>0</v>
      </c>
      <c r="AO45" s="55">
        <v>0</v>
      </c>
      <c r="AP45" s="55">
        <v>0</v>
      </c>
      <c r="AQ45" s="55">
        <v>0</v>
      </c>
      <c r="AR45" s="55">
        <v>0</v>
      </c>
    </row>
    <row r="46" spans="2:44">
      <c r="B46" s="61" t="s">
        <v>212</v>
      </c>
      <c r="C46" s="48"/>
      <c r="D46" s="62" t="s">
        <v>306</v>
      </c>
      <c r="E46" s="48"/>
      <c r="F46" s="48"/>
      <c r="G46" s="48"/>
      <c r="H46" s="48"/>
      <c r="I46" s="48">
        <v>19200</v>
      </c>
      <c r="J46" s="48"/>
      <c r="K46" s="48"/>
      <c r="L46" s="48"/>
      <c r="M46" s="48"/>
      <c r="N46" s="63"/>
      <c r="O46" s="47"/>
      <c r="P46" s="43">
        <v>483520</v>
      </c>
      <c r="Q46" s="47">
        <v>36170</v>
      </c>
      <c r="R46" s="47">
        <v>0</v>
      </c>
      <c r="S46" s="48">
        <v>35830</v>
      </c>
      <c r="T46" s="48"/>
      <c r="U46" s="48">
        <v>360</v>
      </c>
      <c r="V46" s="48">
        <v>1792</v>
      </c>
      <c r="W46" s="49">
        <v>2200</v>
      </c>
      <c r="X46" s="50">
        <v>6910</v>
      </c>
      <c r="Y46" s="50">
        <v>207</v>
      </c>
      <c r="Z46" s="48">
        <v>0</v>
      </c>
      <c r="AA46" s="48">
        <v>0</v>
      </c>
      <c r="AB46" s="48"/>
      <c r="AC46" s="48">
        <v>0</v>
      </c>
      <c r="AD46" s="48">
        <v>0</v>
      </c>
      <c r="AE46" s="48">
        <v>0</v>
      </c>
      <c r="AF46" s="48"/>
      <c r="AG46" s="48">
        <v>0</v>
      </c>
      <c r="AH46" s="48">
        <v>0</v>
      </c>
      <c r="AI46" s="48">
        <v>0</v>
      </c>
      <c r="AJ46" s="48"/>
      <c r="AK46" s="48"/>
      <c r="AL46" s="48"/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</row>
    <row r="47" spans="2:44">
      <c r="B47" s="61" t="s">
        <v>213</v>
      </c>
      <c r="C47" s="48"/>
      <c r="D47" s="62" t="s">
        <v>307</v>
      </c>
      <c r="E47" s="48"/>
      <c r="F47" s="48"/>
      <c r="G47" s="48"/>
      <c r="H47" s="48"/>
      <c r="I47" s="48">
        <v>19200</v>
      </c>
      <c r="J47" s="48"/>
      <c r="K47" s="48"/>
      <c r="L47" s="48"/>
      <c r="M47" s="48"/>
      <c r="N47" s="63"/>
      <c r="O47" s="47"/>
      <c r="P47" s="43">
        <v>664032</v>
      </c>
      <c r="Q47" s="47">
        <v>0</v>
      </c>
      <c r="R47" s="47">
        <v>0</v>
      </c>
      <c r="S47" s="48">
        <v>51284</v>
      </c>
      <c r="T47" s="48"/>
      <c r="U47" s="48">
        <v>720</v>
      </c>
      <c r="V47" s="48">
        <v>5175</v>
      </c>
      <c r="W47" s="49">
        <v>2400</v>
      </c>
      <c r="X47" s="50">
        <v>18400</v>
      </c>
      <c r="Y47" s="50">
        <v>552</v>
      </c>
      <c r="Z47" s="48">
        <v>24020</v>
      </c>
      <c r="AA47" s="48">
        <v>30000</v>
      </c>
      <c r="AB47" s="48"/>
      <c r="AC47" s="48">
        <v>0</v>
      </c>
      <c r="AD47" s="48">
        <v>0</v>
      </c>
      <c r="AE47" s="48">
        <v>0</v>
      </c>
      <c r="AF47" s="48"/>
      <c r="AG47" s="48">
        <v>0</v>
      </c>
      <c r="AH47" s="48">
        <v>2000</v>
      </c>
      <c r="AI47" s="48">
        <v>0</v>
      </c>
      <c r="AJ47" s="48"/>
      <c r="AK47" s="48"/>
      <c r="AL47" s="48"/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</row>
    <row r="48" spans="2:44">
      <c r="B48" s="61" t="s">
        <v>214</v>
      </c>
      <c r="C48" s="48"/>
      <c r="D48" s="62" t="s">
        <v>308</v>
      </c>
      <c r="E48" s="48"/>
      <c r="F48" s="48"/>
      <c r="G48" s="48"/>
      <c r="H48" s="48"/>
      <c r="I48" s="48">
        <v>19200</v>
      </c>
      <c r="J48" s="48"/>
      <c r="K48" s="48"/>
      <c r="L48" s="48"/>
      <c r="M48" s="48"/>
      <c r="N48" s="63"/>
      <c r="O48" s="47"/>
      <c r="P48" s="43">
        <v>566868</v>
      </c>
      <c r="Q48" s="47">
        <v>0</v>
      </c>
      <c r="R48" s="47">
        <v>0</v>
      </c>
      <c r="S48" s="48">
        <v>51284</v>
      </c>
      <c r="T48" s="48"/>
      <c r="U48" s="48">
        <v>720</v>
      </c>
      <c r="V48" s="48">
        <v>5175</v>
      </c>
      <c r="W48" s="49">
        <v>2400</v>
      </c>
      <c r="X48" s="50">
        <v>10040</v>
      </c>
      <c r="Y48" s="50">
        <v>301</v>
      </c>
      <c r="Z48" s="48">
        <v>32548</v>
      </c>
      <c r="AA48" s="48">
        <v>5000</v>
      </c>
      <c r="AB48" s="48"/>
      <c r="AC48" s="48">
        <v>0</v>
      </c>
      <c r="AD48" s="48">
        <v>0</v>
      </c>
      <c r="AE48" s="48">
        <v>0</v>
      </c>
      <c r="AF48" s="48"/>
      <c r="AG48" s="48">
        <v>0</v>
      </c>
      <c r="AH48" s="48">
        <v>0</v>
      </c>
      <c r="AI48" s="48">
        <v>0</v>
      </c>
      <c r="AJ48" s="48"/>
      <c r="AK48" s="48"/>
      <c r="AL48" s="48"/>
      <c r="AM48" s="48">
        <v>0</v>
      </c>
      <c r="AN48" s="48">
        <v>0</v>
      </c>
      <c r="AO48" s="48">
        <v>0</v>
      </c>
      <c r="AP48" s="48">
        <v>0</v>
      </c>
      <c r="AQ48" s="48">
        <v>0</v>
      </c>
      <c r="AR48" s="48">
        <v>0</v>
      </c>
    </row>
    <row r="49" spans="2:44">
      <c r="B49" s="61" t="s">
        <v>215</v>
      </c>
      <c r="C49" s="48"/>
      <c r="D49" s="62" t="s">
        <v>309</v>
      </c>
      <c r="E49" s="48"/>
      <c r="F49" s="48"/>
      <c r="G49" s="48"/>
      <c r="H49" s="48"/>
      <c r="I49" s="48">
        <v>19200</v>
      </c>
      <c r="J49" s="48"/>
      <c r="K49" s="48"/>
      <c r="L49" s="48"/>
      <c r="M49" s="48"/>
      <c r="N49" s="63"/>
      <c r="O49" s="47"/>
      <c r="P49" s="43">
        <v>645220</v>
      </c>
      <c r="Q49" s="47">
        <v>0</v>
      </c>
      <c r="R49" s="47">
        <v>0</v>
      </c>
      <c r="S49" s="48">
        <v>49774</v>
      </c>
      <c r="T49" s="48"/>
      <c r="U49" s="48">
        <v>720</v>
      </c>
      <c r="V49" s="48">
        <v>0</v>
      </c>
      <c r="W49" s="49">
        <v>2400</v>
      </c>
      <c r="X49" s="50">
        <v>9510</v>
      </c>
      <c r="Y49" s="50">
        <v>285</v>
      </c>
      <c r="Z49" s="48">
        <v>37080</v>
      </c>
      <c r="AA49" s="48">
        <v>96000</v>
      </c>
      <c r="AB49" s="48"/>
      <c r="AC49" s="48">
        <v>0</v>
      </c>
      <c r="AD49" s="48">
        <v>0</v>
      </c>
      <c r="AE49" s="48">
        <v>0</v>
      </c>
      <c r="AF49" s="48"/>
      <c r="AG49" s="48">
        <v>0</v>
      </c>
      <c r="AH49" s="48">
        <v>0</v>
      </c>
      <c r="AI49" s="48">
        <v>0</v>
      </c>
      <c r="AJ49" s="48"/>
      <c r="AK49" s="48"/>
      <c r="AL49" s="48"/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</row>
    <row r="50" spans="2:44">
      <c r="B50" s="61" t="s">
        <v>216</v>
      </c>
      <c r="C50" s="48"/>
      <c r="D50" s="62" t="s">
        <v>310</v>
      </c>
      <c r="E50" s="48"/>
      <c r="F50" s="48"/>
      <c r="G50" s="48"/>
      <c r="H50" s="48"/>
      <c r="I50" s="48">
        <v>19200</v>
      </c>
      <c r="J50" s="48"/>
      <c r="K50" s="48"/>
      <c r="L50" s="48"/>
      <c r="M50" s="48"/>
      <c r="N50" s="63"/>
      <c r="O50" s="47"/>
      <c r="P50" s="43">
        <v>674838</v>
      </c>
      <c r="Q50" s="47">
        <v>21471</v>
      </c>
      <c r="R50" s="47">
        <v>0</v>
      </c>
      <c r="S50" s="48">
        <v>51155</v>
      </c>
      <c r="T50" s="48"/>
      <c r="U50" s="48">
        <v>720</v>
      </c>
      <c r="V50" s="48">
        <v>0</v>
      </c>
      <c r="W50" s="49">
        <v>2400</v>
      </c>
      <c r="X50" s="50">
        <v>16000</v>
      </c>
      <c r="Y50" s="50">
        <v>480</v>
      </c>
      <c r="Z50" s="48">
        <v>32504</v>
      </c>
      <c r="AA50" s="48">
        <v>27000</v>
      </c>
      <c r="AB50" s="48"/>
      <c r="AC50" s="48">
        <v>0</v>
      </c>
      <c r="AD50" s="48">
        <v>0</v>
      </c>
      <c r="AE50" s="48">
        <v>0</v>
      </c>
      <c r="AF50" s="48"/>
      <c r="AG50" s="48">
        <v>0</v>
      </c>
      <c r="AH50" s="48">
        <v>0</v>
      </c>
      <c r="AI50" s="48">
        <v>0</v>
      </c>
      <c r="AJ50" s="48"/>
      <c r="AK50" s="48"/>
      <c r="AL50" s="48"/>
      <c r="AM50" s="48">
        <v>3686</v>
      </c>
      <c r="AN50" s="48">
        <v>0</v>
      </c>
      <c r="AO50" s="48">
        <v>0</v>
      </c>
      <c r="AP50" s="48">
        <v>0</v>
      </c>
      <c r="AQ50" s="48">
        <v>0</v>
      </c>
      <c r="AR50" s="48">
        <v>0</v>
      </c>
    </row>
    <row r="51" spans="2:44">
      <c r="B51" s="61" t="s">
        <v>217</v>
      </c>
      <c r="C51" s="48"/>
      <c r="D51" s="62" t="s">
        <v>311</v>
      </c>
      <c r="E51" s="48"/>
      <c r="F51" s="48"/>
      <c r="G51" s="48"/>
      <c r="H51" s="48"/>
      <c r="I51" s="48">
        <v>19200</v>
      </c>
      <c r="J51" s="48"/>
      <c r="K51" s="48"/>
      <c r="L51" s="48"/>
      <c r="M51" s="48"/>
      <c r="N51" s="63"/>
      <c r="O51" s="47"/>
      <c r="P51" s="43">
        <v>645220</v>
      </c>
      <c r="Q51" s="47">
        <v>0</v>
      </c>
      <c r="R51" s="47">
        <v>0</v>
      </c>
      <c r="S51" s="48">
        <v>49774</v>
      </c>
      <c r="T51" s="48"/>
      <c r="U51" s="48">
        <v>720</v>
      </c>
      <c r="V51" s="48">
        <v>3225</v>
      </c>
      <c r="W51" s="49">
        <v>2400</v>
      </c>
      <c r="X51" s="50">
        <v>9230</v>
      </c>
      <c r="Y51" s="50">
        <v>277</v>
      </c>
      <c r="Z51" s="48">
        <v>55380</v>
      </c>
      <c r="AA51" s="48">
        <v>80000</v>
      </c>
      <c r="AB51" s="48"/>
      <c r="AC51" s="48">
        <v>0</v>
      </c>
      <c r="AD51" s="48">
        <v>0</v>
      </c>
      <c r="AE51" s="48">
        <v>0</v>
      </c>
      <c r="AF51" s="48"/>
      <c r="AG51" s="48">
        <v>0</v>
      </c>
      <c r="AH51" s="48">
        <v>0</v>
      </c>
      <c r="AI51" s="48">
        <v>0</v>
      </c>
      <c r="AJ51" s="48"/>
      <c r="AK51" s="48"/>
      <c r="AL51" s="48"/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0</v>
      </c>
    </row>
    <row r="52" spans="2:44">
      <c r="B52" s="61" t="s">
        <v>218</v>
      </c>
      <c r="C52" s="48"/>
      <c r="D52" s="62" t="s">
        <v>312</v>
      </c>
      <c r="E52" s="48"/>
      <c r="F52" s="48"/>
      <c r="G52" s="48"/>
      <c r="H52" s="48"/>
      <c r="I52" s="48">
        <v>19200</v>
      </c>
      <c r="J52" s="48"/>
      <c r="K52" s="48"/>
      <c r="L52" s="48"/>
      <c r="M52" s="48"/>
      <c r="N52" s="63"/>
      <c r="O52" s="47"/>
      <c r="P52" s="43">
        <v>645220</v>
      </c>
      <c r="Q52" s="47">
        <v>0</v>
      </c>
      <c r="R52" s="47">
        <v>0</v>
      </c>
      <c r="S52" s="48">
        <v>49774</v>
      </c>
      <c r="T52" s="48"/>
      <c r="U52" s="48">
        <v>720</v>
      </c>
      <c r="V52" s="48">
        <v>0</v>
      </c>
      <c r="W52" s="49">
        <v>2400</v>
      </c>
      <c r="X52" s="50">
        <v>8350</v>
      </c>
      <c r="Y52" s="50">
        <v>251</v>
      </c>
      <c r="Z52" s="48">
        <v>0</v>
      </c>
      <c r="AA52" s="48">
        <v>150000</v>
      </c>
      <c r="AB52" s="48"/>
      <c r="AC52" s="48">
        <v>0</v>
      </c>
      <c r="AD52" s="48">
        <v>0</v>
      </c>
      <c r="AE52" s="48">
        <v>0</v>
      </c>
      <c r="AF52" s="48"/>
      <c r="AG52" s="48">
        <v>0</v>
      </c>
      <c r="AH52" s="48">
        <v>0</v>
      </c>
      <c r="AI52" s="48">
        <v>0</v>
      </c>
      <c r="AJ52" s="48"/>
      <c r="AK52" s="48"/>
      <c r="AL52" s="48"/>
      <c r="AM52" s="48">
        <v>7125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</row>
    <row r="53" spans="2:44">
      <c r="B53" s="61" t="s">
        <v>219</v>
      </c>
      <c r="C53" s="48"/>
      <c r="D53" s="62" t="s">
        <v>313</v>
      </c>
      <c r="E53" s="48"/>
      <c r="F53" s="48"/>
      <c r="G53" s="48"/>
      <c r="H53" s="48"/>
      <c r="I53" s="48">
        <v>19200</v>
      </c>
      <c r="J53" s="48"/>
      <c r="K53" s="48"/>
      <c r="L53" s="48"/>
      <c r="M53" s="48"/>
      <c r="N53" s="63"/>
      <c r="O53" s="47"/>
      <c r="P53" s="43">
        <v>643520</v>
      </c>
      <c r="Q53" s="47">
        <v>0</v>
      </c>
      <c r="R53" s="47">
        <v>0</v>
      </c>
      <c r="S53" s="48">
        <v>49774</v>
      </c>
      <c r="T53" s="48"/>
      <c r="U53" s="48">
        <v>720</v>
      </c>
      <c r="V53" s="48">
        <v>0</v>
      </c>
      <c r="W53" s="49">
        <v>2400</v>
      </c>
      <c r="X53" s="50">
        <v>15350</v>
      </c>
      <c r="Y53" s="50">
        <v>461</v>
      </c>
      <c r="Z53" s="48">
        <v>28821</v>
      </c>
      <c r="AA53" s="48">
        <v>25000</v>
      </c>
      <c r="AB53" s="48"/>
      <c r="AC53" s="48">
        <v>0</v>
      </c>
      <c r="AD53" s="48">
        <v>0</v>
      </c>
      <c r="AE53" s="48">
        <v>0</v>
      </c>
      <c r="AF53" s="48"/>
      <c r="AG53" s="48">
        <v>0</v>
      </c>
      <c r="AH53" s="48">
        <v>0</v>
      </c>
      <c r="AI53" s="48">
        <v>0</v>
      </c>
      <c r="AJ53" s="48"/>
      <c r="AK53" s="48"/>
      <c r="AL53" s="48"/>
      <c r="AM53" s="48">
        <v>3415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</row>
    <row r="54" spans="2:44">
      <c r="B54" s="61" t="s">
        <v>220</v>
      </c>
      <c r="C54" s="48"/>
      <c r="D54" s="62" t="s">
        <v>314</v>
      </c>
      <c r="E54" s="48"/>
      <c r="F54" s="48"/>
      <c r="G54" s="48"/>
      <c r="H54" s="48"/>
      <c r="I54" s="48">
        <v>19200</v>
      </c>
      <c r="J54" s="48"/>
      <c r="K54" s="48"/>
      <c r="L54" s="48"/>
      <c r="M54" s="48"/>
      <c r="N54" s="63"/>
      <c r="O54" s="47"/>
      <c r="P54" s="43">
        <v>643520</v>
      </c>
      <c r="Q54" s="47">
        <v>13226</v>
      </c>
      <c r="R54" s="47">
        <v>16677</v>
      </c>
      <c r="S54" s="48">
        <v>49774</v>
      </c>
      <c r="T54" s="48"/>
      <c r="U54" s="48">
        <v>720</v>
      </c>
      <c r="V54" s="48">
        <v>5075</v>
      </c>
      <c r="W54" s="49">
        <v>2400</v>
      </c>
      <c r="X54" s="50">
        <v>12300</v>
      </c>
      <c r="Y54" s="50">
        <v>369</v>
      </c>
      <c r="Z54" s="48">
        <v>24374</v>
      </c>
      <c r="AA54" s="48">
        <v>0</v>
      </c>
      <c r="AB54" s="48"/>
      <c r="AC54" s="48">
        <v>12401</v>
      </c>
      <c r="AD54" s="48">
        <v>0</v>
      </c>
      <c r="AE54" s="48">
        <v>0</v>
      </c>
      <c r="AF54" s="48"/>
      <c r="AG54" s="48">
        <v>0</v>
      </c>
      <c r="AH54" s="48">
        <v>0</v>
      </c>
      <c r="AI54" s="48">
        <v>0</v>
      </c>
      <c r="AJ54" s="48"/>
      <c r="AK54" s="48"/>
      <c r="AL54" s="48"/>
      <c r="AM54" s="48">
        <v>0</v>
      </c>
      <c r="AN54" s="48">
        <v>0</v>
      </c>
      <c r="AO54" s="48">
        <v>4000</v>
      </c>
      <c r="AP54" s="48">
        <v>0</v>
      </c>
      <c r="AQ54" s="48">
        <v>0</v>
      </c>
      <c r="AR54" s="48">
        <v>0</v>
      </c>
    </row>
    <row r="55" spans="2:44">
      <c r="B55" s="61" t="s">
        <v>221</v>
      </c>
      <c r="C55" s="48"/>
      <c r="D55" s="62" t="s">
        <v>315</v>
      </c>
      <c r="E55" s="48"/>
      <c r="F55" s="48"/>
      <c r="G55" s="48"/>
      <c r="H55" s="48"/>
      <c r="I55" s="48">
        <v>19200</v>
      </c>
      <c r="J55" s="48"/>
      <c r="K55" s="48"/>
      <c r="L55" s="48"/>
      <c r="M55" s="48"/>
      <c r="N55" s="63"/>
      <c r="O55" s="47"/>
      <c r="P55" s="43">
        <v>643520</v>
      </c>
      <c r="Q55" s="47">
        <v>46226</v>
      </c>
      <c r="R55" s="47">
        <v>0</v>
      </c>
      <c r="S55" s="48">
        <v>49774</v>
      </c>
      <c r="T55" s="48"/>
      <c r="U55" s="48">
        <v>720</v>
      </c>
      <c r="V55" s="48">
        <v>0</v>
      </c>
      <c r="W55" s="49">
        <v>2400</v>
      </c>
      <c r="X55" s="50">
        <v>17550</v>
      </c>
      <c r="Y55" s="50">
        <v>527</v>
      </c>
      <c r="Z55" s="48">
        <v>0</v>
      </c>
      <c r="AA55" s="48">
        <v>0</v>
      </c>
      <c r="AB55" s="48"/>
      <c r="AC55" s="48">
        <v>0</v>
      </c>
      <c r="AD55" s="48">
        <v>0</v>
      </c>
      <c r="AE55" s="48">
        <v>0</v>
      </c>
      <c r="AF55" s="48"/>
      <c r="AG55" s="48">
        <v>0</v>
      </c>
      <c r="AH55" s="48">
        <v>0</v>
      </c>
      <c r="AI55" s="48">
        <v>0</v>
      </c>
      <c r="AJ55" s="48"/>
      <c r="AK55" s="48"/>
      <c r="AL55" s="48"/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</row>
    <row r="56" spans="2:44" s="41" customFormat="1">
      <c r="B56" s="64" t="s">
        <v>222</v>
      </c>
      <c r="C56" s="49"/>
      <c r="D56" s="65" t="s">
        <v>316</v>
      </c>
      <c r="E56" s="49"/>
      <c r="F56" s="49"/>
      <c r="G56" s="49"/>
      <c r="H56" s="49"/>
      <c r="I56" s="48">
        <v>19200</v>
      </c>
      <c r="J56" s="49"/>
      <c r="K56" s="49"/>
      <c r="L56" s="49"/>
      <c r="M56" s="49"/>
      <c r="N56" s="68"/>
      <c r="O56" s="51"/>
      <c r="P56" s="52">
        <v>621858</v>
      </c>
      <c r="Q56" s="51">
        <v>0</v>
      </c>
      <c r="R56" s="53">
        <v>268967</v>
      </c>
      <c r="S56" s="49">
        <v>59504</v>
      </c>
      <c r="T56" s="49"/>
      <c r="U56" s="49">
        <v>720</v>
      </c>
      <c r="V56" s="49">
        <v>0</v>
      </c>
      <c r="W56" s="49">
        <v>2400</v>
      </c>
      <c r="X56" s="49">
        <v>0</v>
      </c>
      <c r="Y56" s="49">
        <v>0</v>
      </c>
      <c r="Z56" s="49">
        <v>48000</v>
      </c>
      <c r="AA56" s="49">
        <v>0</v>
      </c>
      <c r="AB56" s="49"/>
      <c r="AC56" s="49">
        <v>33691</v>
      </c>
      <c r="AD56" s="49">
        <v>0</v>
      </c>
      <c r="AE56" s="49">
        <v>0</v>
      </c>
      <c r="AF56" s="49"/>
      <c r="AG56" s="49">
        <v>0</v>
      </c>
      <c r="AH56" s="49">
        <v>0</v>
      </c>
      <c r="AI56" s="49">
        <v>0</v>
      </c>
      <c r="AJ56" s="49"/>
      <c r="AK56" s="49"/>
      <c r="AL56" s="49"/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</row>
    <row r="57" spans="2:44">
      <c r="B57" s="61" t="s">
        <v>223</v>
      </c>
      <c r="C57" s="48"/>
      <c r="D57" s="62" t="s">
        <v>317</v>
      </c>
      <c r="E57" s="48"/>
      <c r="F57" s="48"/>
      <c r="G57" s="48"/>
      <c r="H57" s="48"/>
      <c r="I57" s="48">
        <v>19200</v>
      </c>
      <c r="J57" s="48"/>
      <c r="K57" s="48"/>
      <c r="L57" s="48"/>
      <c r="M57" s="48"/>
      <c r="N57" s="63"/>
      <c r="O57" s="47"/>
      <c r="P57" s="43">
        <v>567248</v>
      </c>
      <c r="Q57" s="51">
        <v>0</v>
      </c>
      <c r="R57" s="47">
        <v>0</v>
      </c>
      <c r="S57" s="48">
        <v>49774</v>
      </c>
      <c r="T57" s="48"/>
      <c r="U57" s="48">
        <v>720</v>
      </c>
      <c r="V57" s="48">
        <v>7234</v>
      </c>
      <c r="W57" s="49">
        <v>2400</v>
      </c>
      <c r="X57" s="50">
        <v>22000</v>
      </c>
      <c r="Y57" s="50">
        <v>660</v>
      </c>
      <c r="Z57" s="48">
        <v>0</v>
      </c>
      <c r="AA57" s="48">
        <v>0</v>
      </c>
      <c r="AB57" s="48"/>
      <c r="AC57" s="48">
        <v>0</v>
      </c>
      <c r="AD57" s="48">
        <v>0</v>
      </c>
      <c r="AE57" s="48">
        <v>0</v>
      </c>
      <c r="AF57" s="48"/>
      <c r="AG57" s="48">
        <v>0</v>
      </c>
      <c r="AH57" s="48">
        <v>0</v>
      </c>
      <c r="AI57" s="48">
        <v>0</v>
      </c>
      <c r="AJ57" s="48"/>
      <c r="AK57" s="48"/>
      <c r="AL57" s="48"/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</row>
    <row r="58" spans="2:44" s="54" customFormat="1">
      <c r="B58" s="66" t="s">
        <v>224</v>
      </c>
      <c r="C58" s="55"/>
      <c r="D58" s="67" t="s">
        <v>318</v>
      </c>
      <c r="E58" s="55"/>
      <c r="F58" s="55"/>
      <c r="G58" s="55"/>
      <c r="H58" s="55"/>
      <c r="I58" s="55">
        <v>19200</v>
      </c>
      <c r="J58" s="55"/>
      <c r="K58" s="55"/>
      <c r="L58" s="55"/>
      <c r="M58" s="55"/>
      <c r="N58" s="55"/>
      <c r="O58" s="55"/>
      <c r="P58" s="43">
        <v>671293</v>
      </c>
      <c r="Q58" s="51">
        <v>0</v>
      </c>
      <c r="R58" s="47">
        <v>50758</v>
      </c>
      <c r="S58" s="55">
        <v>51155</v>
      </c>
      <c r="T58" s="55"/>
      <c r="U58" s="55">
        <v>720</v>
      </c>
      <c r="V58" s="55">
        <v>0</v>
      </c>
      <c r="W58" s="56">
        <v>2400</v>
      </c>
      <c r="X58" s="57">
        <v>17463</v>
      </c>
      <c r="Y58" s="57">
        <v>524</v>
      </c>
      <c r="Z58" s="55">
        <v>0</v>
      </c>
      <c r="AA58" s="55">
        <v>0</v>
      </c>
      <c r="AB58" s="55"/>
      <c r="AC58" s="55">
        <v>12021</v>
      </c>
      <c r="AD58" s="55">
        <v>0</v>
      </c>
      <c r="AE58" s="55">
        <v>0</v>
      </c>
      <c r="AF58" s="55"/>
      <c r="AG58" s="55">
        <v>0</v>
      </c>
      <c r="AH58" s="55">
        <v>0</v>
      </c>
      <c r="AI58" s="55">
        <v>0</v>
      </c>
      <c r="AJ58" s="55"/>
      <c r="AK58" s="55"/>
      <c r="AL58" s="55"/>
      <c r="AM58" s="55">
        <v>10851</v>
      </c>
      <c r="AN58" s="55">
        <v>0</v>
      </c>
      <c r="AO58" s="55">
        <v>0</v>
      </c>
      <c r="AP58" s="55">
        <v>0</v>
      </c>
      <c r="AQ58" s="55">
        <v>0</v>
      </c>
      <c r="AR58" s="55">
        <v>0</v>
      </c>
    </row>
    <row r="59" spans="2:44">
      <c r="B59" s="61" t="s">
        <v>225</v>
      </c>
      <c r="C59" s="48"/>
      <c r="D59" s="62" t="s">
        <v>319</v>
      </c>
      <c r="E59" s="48"/>
      <c r="F59" s="48"/>
      <c r="G59" s="48"/>
      <c r="H59" s="48"/>
      <c r="I59" s="48">
        <v>19200</v>
      </c>
      <c r="J59" s="48"/>
      <c r="K59" s="48"/>
      <c r="L59" s="48"/>
      <c r="M59" s="48"/>
      <c r="N59" s="63"/>
      <c r="O59" s="47"/>
      <c r="P59" s="43">
        <v>643520</v>
      </c>
      <c r="Q59" s="51">
        <v>0</v>
      </c>
      <c r="R59" s="47">
        <v>189652</v>
      </c>
      <c r="S59" s="48">
        <v>49774</v>
      </c>
      <c r="T59" s="48"/>
      <c r="U59" s="48">
        <v>720</v>
      </c>
      <c r="V59" s="48">
        <v>0</v>
      </c>
      <c r="W59" s="49">
        <v>2400</v>
      </c>
      <c r="X59" s="50">
        <v>1140</v>
      </c>
      <c r="Y59" s="50">
        <v>34</v>
      </c>
      <c r="Z59" s="48">
        <v>32816</v>
      </c>
      <c r="AA59" s="48">
        <v>0</v>
      </c>
      <c r="AB59" s="48"/>
      <c r="AC59" s="48">
        <v>26338</v>
      </c>
      <c r="AD59" s="48">
        <v>0</v>
      </c>
      <c r="AE59" s="48">
        <v>0</v>
      </c>
      <c r="AF59" s="48"/>
      <c r="AG59" s="48">
        <v>0</v>
      </c>
      <c r="AH59" s="48">
        <v>0</v>
      </c>
      <c r="AI59" s="48">
        <v>0</v>
      </c>
      <c r="AJ59" s="48"/>
      <c r="AK59" s="48"/>
      <c r="AL59" s="48"/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</row>
    <row r="60" spans="2:44">
      <c r="B60" s="64" t="s">
        <v>226</v>
      </c>
      <c r="C60" s="48"/>
      <c r="D60" s="65" t="s">
        <v>320</v>
      </c>
      <c r="E60" s="48"/>
      <c r="F60" s="48"/>
      <c r="G60" s="48"/>
      <c r="H60" s="48"/>
      <c r="I60" s="48">
        <v>19200</v>
      </c>
      <c r="J60" s="48"/>
      <c r="K60" s="48"/>
      <c r="L60" s="48"/>
      <c r="M60" s="48"/>
      <c r="N60" s="63"/>
      <c r="O60" s="47"/>
      <c r="P60" s="43">
        <v>626048</v>
      </c>
      <c r="Q60" s="51">
        <v>0</v>
      </c>
      <c r="R60" s="47">
        <v>0</v>
      </c>
      <c r="S60" s="48">
        <v>48302</v>
      </c>
      <c r="T60" s="48"/>
      <c r="U60" s="48">
        <v>720</v>
      </c>
      <c r="V60" s="48">
        <v>0</v>
      </c>
      <c r="W60" s="49">
        <v>2400</v>
      </c>
      <c r="X60" s="50">
        <v>21500</v>
      </c>
      <c r="Y60" s="50">
        <v>645</v>
      </c>
      <c r="Z60" s="48">
        <v>10486</v>
      </c>
      <c r="AA60" s="48">
        <v>0</v>
      </c>
      <c r="AB60" s="48"/>
      <c r="AC60" s="48">
        <v>0</v>
      </c>
      <c r="AD60" s="48">
        <v>0</v>
      </c>
      <c r="AE60" s="48">
        <v>0</v>
      </c>
      <c r="AF60" s="48"/>
      <c r="AG60" s="48">
        <v>0</v>
      </c>
      <c r="AH60" s="48">
        <v>0</v>
      </c>
      <c r="AI60" s="48">
        <v>0</v>
      </c>
      <c r="AJ60" s="48"/>
      <c r="AK60" s="48"/>
      <c r="AL60" s="48"/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</row>
    <row r="61" spans="2:44">
      <c r="B61" s="61" t="s">
        <v>227</v>
      </c>
      <c r="C61" s="48"/>
      <c r="D61" s="62" t="s">
        <v>321</v>
      </c>
      <c r="E61" s="48"/>
      <c r="F61" s="48"/>
      <c r="G61" s="48"/>
      <c r="H61" s="48"/>
      <c r="I61" s="48">
        <v>19200</v>
      </c>
      <c r="J61" s="48"/>
      <c r="K61" s="48"/>
      <c r="L61" s="48"/>
      <c r="M61" s="48"/>
      <c r="N61" s="63"/>
      <c r="O61" s="47"/>
      <c r="P61" s="43">
        <v>482120</v>
      </c>
      <c r="Q61" s="47">
        <v>0</v>
      </c>
      <c r="R61" s="47">
        <v>0</v>
      </c>
      <c r="S61" s="48">
        <v>35830</v>
      </c>
      <c r="T61" s="48"/>
      <c r="U61" s="48">
        <v>360</v>
      </c>
      <c r="V61" s="48">
        <v>0</v>
      </c>
      <c r="W61" s="49">
        <v>2200</v>
      </c>
      <c r="X61" s="50">
        <v>7210</v>
      </c>
      <c r="Y61" s="50">
        <v>216</v>
      </c>
      <c r="Z61" s="48">
        <v>30441</v>
      </c>
      <c r="AA61" s="48">
        <v>0</v>
      </c>
      <c r="AB61" s="48"/>
      <c r="AC61" s="48">
        <v>0</v>
      </c>
      <c r="AD61" s="48">
        <v>0</v>
      </c>
      <c r="AE61" s="48">
        <v>0</v>
      </c>
      <c r="AF61" s="48"/>
      <c r="AG61" s="48">
        <v>0</v>
      </c>
      <c r="AH61" s="48">
        <v>0</v>
      </c>
      <c r="AI61" s="48">
        <v>0</v>
      </c>
      <c r="AJ61" s="48"/>
      <c r="AK61" s="48"/>
      <c r="AL61" s="48"/>
      <c r="AM61" s="48">
        <v>0</v>
      </c>
      <c r="AN61" s="48">
        <v>0</v>
      </c>
      <c r="AO61" s="48">
        <v>0</v>
      </c>
      <c r="AP61" s="48">
        <v>0</v>
      </c>
      <c r="AQ61" s="48">
        <v>0</v>
      </c>
      <c r="AR61" s="48">
        <v>0</v>
      </c>
    </row>
    <row r="62" spans="2:44">
      <c r="B62" s="64" t="s">
        <v>228</v>
      </c>
      <c r="C62" s="48"/>
      <c r="D62" s="62" t="s">
        <v>322</v>
      </c>
      <c r="E62" s="48"/>
      <c r="F62" s="48"/>
      <c r="G62" s="48"/>
      <c r="H62" s="48"/>
      <c r="I62" s="48">
        <v>19200</v>
      </c>
      <c r="J62" s="48"/>
      <c r="K62" s="48"/>
      <c r="L62" s="48"/>
      <c r="M62" s="48"/>
      <c r="N62" s="63"/>
      <c r="O62" s="47"/>
      <c r="P62" s="43">
        <v>522560</v>
      </c>
      <c r="Q62" s="47">
        <v>36170</v>
      </c>
      <c r="R62" s="47">
        <v>0</v>
      </c>
      <c r="S62" s="48">
        <v>35830</v>
      </c>
      <c r="T62" s="48"/>
      <c r="U62" s="48">
        <v>360</v>
      </c>
      <c r="V62" s="48">
        <v>1792</v>
      </c>
      <c r="W62" s="49">
        <v>2150</v>
      </c>
      <c r="X62" s="50">
        <v>0</v>
      </c>
      <c r="Y62" s="50">
        <v>0</v>
      </c>
      <c r="Z62" s="48">
        <v>46474</v>
      </c>
      <c r="AA62" s="48">
        <v>0</v>
      </c>
      <c r="AB62" s="48"/>
      <c r="AC62" s="48">
        <v>0</v>
      </c>
      <c r="AD62" s="48">
        <v>0</v>
      </c>
      <c r="AE62" s="48">
        <v>0</v>
      </c>
      <c r="AF62" s="48"/>
      <c r="AG62" s="48">
        <v>0</v>
      </c>
      <c r="AH62" s="48">
        <v>18000</v>
      </c>
      <c r="AI62" s="48">
        <v>0</v>
      </c>
      <c r="AJ62" s="48"/>
      <c r="AK62" s="48"/>
      <c r="AL62" s="48"/>
      <c r="AM62" s="48">
        <v>0</v>
      </c>
      <c r="AN62" s="48">
        <v>0</v>
      </c>
      <c r="AO62" s="48">
        <v>0</v>
      </c>
      <c r="AP62" s="48">
        <v>75000</v>
      </c>
      <c r="AQ62" s="48">
        <v>0</v>
      </c>
      <c r="AR62" s="48">
        <v>0</v>
      </c>
    </row>
    <row r="63" spans="2:44">
      <c r="B63" s="61" t="s">
        <v>229</v>
      </c>
      <c r="C63" s="48"/>
      <c r="D63" s="62" t="s">
        <v>323</v>
      </c>
      <c r="E63" s="48"/>
      <c r="F63" s="48"/>
      <c r="G63" s="48"/>
      <c r="H63" s="48"/>
      <c r="I63" s="48">
        <v>19200</v>
      </c>
      <c r="J63" s="48"/>
      <c r="K63" s="48"/>
      <c r="L63" s="48"/>
      <c r="M63" s="48"/>
      <c r="N63" s="63"/>
      <c r="O63" s="47"/>
      <c r="P63" s="43">
        <v>639434</v>
      </c>
      <c r="Q63" s="47">
        <v>0</v>
      </c>
      <c r="R63" s="47">
        <v>66867</v>
      </c>
      <c r="S63" s="48">
        <v>48302</v>
      </c>
      <c r="T63" s="48"/>
      <c r="U63" s="48">
        <v>720</v>
      </c>
      <c r="V63" s="48">
        <v>5175</v>
      </c>
      <c r="W63" s="49">
        <v>2400</v>
      </c>
      <c r="X63" s="50">
        <v>1810</v>
      </c>
      <c r="Y63" s="50">
        <v>54</v>
      </c>
      <c r="Z63" s="48">
        <v>71580</v>
      </c>
      <c r="AA63" s="48">
        <v>0</v>
      </c>
      <c r="AB63" s="48"/>
      <c r="AC63" s="48">
        <v>74820</v>
      </c>
      <c r="AD63" s="48">
        <v>0</v>
      </c>
      <c r="AE63" s="48">
        <v>0</v>
      </c>
      <c r="AF63" s="48"/>
      <c r="AG63" s="48">
        <v>0</v>
      </c>
      <c r="AH63" s="48">
        <v>0</v>
      </c>
      <c r="AI63" s="48">
        <v>0</v>
      </c>
      <c r="AJ63" s="48"/>
      <c r="AK63" s="48"/>
      <c r="AL63" s="48"/>
      <c r="AM63" s="48">
        <v>14277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</row>
    <row r="64" spans="2:44">
      <c r="B64" s="61" t="s">
        <v>230</v>
      </c>
      <c r="C64" s="48"/>
      <c r="D64" s="62" t="s">
        <v>324</v>
      </c>
      <c r="E64" s="48"/>
      <c r="F64" s="48"/>
      <c r="G64" s="48"/>
      <c r="H64" s="48"/>
      <c r="I64" s="48">
        <v>19200</v>
      </c>
      <c r="J64" s="48"/>
      <c r="K64" s="48"/>
      <c r="L64" s="48"/>
      <c r="M64" s="48"/>
      <c r="N64" s="63"/>
      <c r="O64" s="47"/>
      <c r="P64" s="43">
        <v>627748</v>
      </c>
      <c r="Q64" s="47">
        <v>0</v>
      </c>
      <c r="R64" s="47">
        <v>197655</v>
      </c>
      <c r="S64" s="48">
        <v>48302</v>
      </c>
      <c r="T64" s="48"/>
      <c r="U64" s="48">
        <v>720</v>
      </c>
      <c r="V64" s="48">
        <v>3225</v>
      </c>
      <c r="W64" s="49">
        <v>2400</v>
      </c>
      <c r="X64" s="50">
        <v>12000</v>
      </c>
      <c r="Y64" s="50">
        <v>360</v>
      </c>
      <c r="Z64" s="48">
        <v>6746</v>
      </c>
      <c r="AA64" s="48">
        <v>0</v>
      </c>
      <c r="AB64" s="48"/>
      <c r="AC64" s="48">
        <v>48393</v>
      </c>
      <c r="AD64" s="48">
        <v>0</v>
      </c>
      <c r="AE64" s="48">
        <v>0</v>
      </c>
      <c r="AF64" s="48"/>
      <c r="AG64" s="48">
        <v>0</v>
      </c>
      <c r="AH64" s="48">
        <v>0</v>
      </c>
      <c r="AI64" s="48">
        <v>0</v>
      </c>
      <c r="AJ64" s="48"/>
      <c r="AK64" s="48"/>
      <c r="AL64" s="48"/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</row>
    <row r="65" spans="2:44">
      <c r="B65" s="61" t="s">
        <v>231</v>
      </c>
      <c r="C65" s="48"/>
      <c r="D65" s="62" t="s">
        <v>325</v>
      </c>
      <c r="E65" s="48"/>
      <c r="F65" s="48"/>
      <c r="G65" s="48"/>
      <c r="H65" s="48"/>
      <c r="I65" s="48">
        <v>19200</v>
      </c>
      <c r="J65" s="48"/>
      <c r="K65" s="48"/>
      <c r="L65" s="48"/>
      <c r="M65" s="48"/>
      <c r="N65" s="63"/>
      <c r="O65" s="47"/>
      <c r="P65" s="43">
        <v>611320</v>
      </c>
      <c r="Q65" s="47">
        <v>0</v>
      </c>
      <c r="R65" s="47">
        <v>0</v>
      </c>
      <c r="S65" s="48">
        <v>46913</v>
      </c>
      <c r="T65" s="48"/>
      <c r="U65" s="48">
        <v>720</v>
      </c>
      <c r="V65" s="48">
        <v>0</v>
      </c>
      <c r="W65" s="49">
        <v>2400</v>
      </c>
      <c r="X65" s="50">
        <v>7150</v>
      </c>
      <c r="Y65" s="50">
        <v>215</v>
      </c>
      <c r="Z65" s="48">
        <v>14093</v>
      </c>
      <c r="AA65" s="48">
        <v>137000</v>
      </c>
      <c r="AB65" s="48"/>
      <c r="AC65" s="48">
        <v>0</v>
      </c>
      <c r="AD65" s="48">
        <v>0</v>
      </c>
      <c r="AE65" s="48">
        <v>0</v>
      </c>
      <c r="AF65" s="48"/>
      <c r="AG65" s="48">
        <v>0</v>
      </c>
      <c r="AH65" s="48">
        <v>0</v>
      </c>
      <c r="AI65" s="48">
        <v>0</v>
      </c>
      <c r="AJ65" s="48"/>
      <c r="AK65" s="48"/>
      <c r="AL65" s="48"/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</row>
    <row r="66" spans="2:44">
      <c r="B66" s="61" t="s">
        <v>232</v>
      </c>
      <c r="C66" s="48"/>
      <c r="D66" s="62" t="s">
        <v>326</v>
      </c>
      <c r="E66" s="48"/>
      <c r="F66" s="48"/>
      <c r="G66" s="48"/>
      <c r="H66" s="48"/>
      <c r="I66" s="48">
        <v>19200</v>
      </c>
      <c r="J66" s="48"/>
      <c r="K66" s="48"/>
      <c r="L66" s="48"/>
      <c r="M66" s="48"/>
      <c r="N66" s="63"/>
      <c r="O66" s="47"/>
      <c r="P66" s="43">
        <v>553412</v>
      </c>
      <c r="Q66" s="47">
        <v>0</v>
      </c>
      <c r="R66" s="47">
        <v>0</v>
      </c>
      <c r="S66" s="48">
        <v>41039</v>
      </c>
      <c r="T66" s="48"/>
      <c r="U66" s="48">
        <v>360</v>
      </c>
      <c r="V66" s="48">
        <v>0</v>
      </c>
      <c r="W66" s="49">
        <v>2400</v>
      </c>
      <c r="X66" s="50">
        <v>8625</v>
      </c>
      <c r="Y66" s="50">
        <v>259</v>
      </c>
      <c r="Z66" s="48">
        <v>29276</v>
      </c>
      <c r="AA66" s="48">
        <v>40000</v>
      </c>
      <c r="AB66" s="48"/>
      <c r="AC66" s="48">
        <v>0</v>
      </c>
      <c r="AD66" s="48">
        <v>0</v>
      </c>
      <c r="AE66" s="48">
        <v>0</v>
      </c>
      <c r="AF66" s="48"/>
      <c r="AG66" s="48">
        <v>0</v>
      </c>
      <c r="AH66" s="48">
        <v>0</v>
      </c>
      <c r="AI66" s="48">
        <v>0</v>
      </c>
      <c r="AJ66" s="48"/>
      <c r="AK66" s="48"/>
      <c r="AL66" s="48"/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</row>
    <row r="67" spans="2:44">
      <c r="B67" s="61" t="s">
        <v>233</v>
      </c>
      <c r="C67" s="48"/>
      <c r="D67" s="62" t="s">
        <v>327</v>
      </c>
      <c r="E67" s="48"/>
      <c r="F67" s="48"/>
      <c r="G67" s="48"/>
      <c r="H67" s="48"/>
      <c r="I67" s="48">
        <v>19200</v>
      </c>
      <c r="J67" s="48"/>
      <c r="K67" s="48"/>
      <c r="L67" s="48"/>
      <c r="M67" s="48"/>
      <c r="N67" s="63"/>
      <c r="O67" s="47"/>
      <c r="P67" s="43">
        <v>617257</v>
      </c>
      <c r="Q67" s="47">
        <v>0</v>
      </c>
      <c r="R67" s="47">
        <v>55126</v>
      </c>
      <c r="S67" s="48">
        <v>43559</v>
      </c>
      <c r="T67" s="48"/>
      <c r="U67" s="48">
        <v>360</v>
      </c>
      <c r="V67" s="48">
        <v>0</v>
      </c>
      <c r="W67" s="49">
        <v>2400</v>
      </c>
      <c r="X67" s="50">
        <v>2250</v>
      </c>
      <c r="Y67" s="50">
        <v>68</v>
      </c>
      <c r="Z67" s="48">
        <v>0</v>
      </c>
      <c r="AA67" s="48">
        <v>50000</v>
      </c>
      <c r="AB67" s="48"/>
      <c r="AC67" s="48">
        <v>72296</v>
      </c>
      <c r="AD67" s="48">
        <v>0</v>
      </c>
      <c r="AE67" s="48">
        <v>0</v>
      </c>
      <c r="AF67" s="48"/>
      <c r="AG67" s="48">
        <v>0</v>
      </c>
      <c r="AH67" s="48">
        <v>35000</v>
      </c>
      <c r="AI67" s="48">
        <v>0</v>
      </c>
      <c r="AJ67" s="48"/>
      <c r="AK67" s="48"/>
      <c r="AL67" s="48"/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2400</v>
      </c>
    </row>
    <row r="68" spans="2:44">
      <c r="B68" s="61" t="s">
        <v>234</v>
      </c>
      <c r="C68" s="48"/>
      <c r="D68" s="62" t="s">
        <v>328</v>
      </c>
      <c r="E68" s="48"/>
      <c r="F68" s="48"/>
      <c r="G68" s="48"/>
      <c r="H68" s="48"/>
      <c r="I68" s="48">
        <v>19200</v>
      </c>
      <c r="J68" s="48"/>
      <c r="K68" s="48"/>
      <c r="L68" s="48"/>
      <c r="M68" s="48"/>
      <c r="N68" s="63"/>
      <c r="O68" s="47"/>
      <c r="P68" s="43">
        <v>648068</v>
      </c>
      <c r="Q68" s="47">
        <v>0</v>
      </c>
      <c r="R68" s="47">
        <v>0</v>
      </c>
      <c r="S68" s="48">
        <v>49774</v>
      </c>
      <c r="T68" s="48"/>
      <c r="U68" s="48">
        <v>0</v>
      </c>
      <c r="V68" s="48">
        <v>0</v>
      </c>
      <c r="W68" s="49">
        <v>2400</v>
      </c>
      <c r="X68" s="50">
        <v>28000</v>
      </c>
      <c r="Y68" s="50">
        <v>840</v>
      </c>
      <c r="Z68" s="48">
        <v>0</v>
      </c>
      <c r="AA68" s="48">
        <v>0</v>
      </c>
      <c r="AB68" s="48"/>
      <c r="AC68" s="48">
        <v>0</v>
      </c>
      <c r="AD68" s="48">
        <v>0</v>
      </c>
      <c r="AE68" s="48">
        <v>0</v>
      </c>
      <c r="AF68" s="48"/>
      <c r="AG68" s="48">
        <v>0</v>
      </c>
      <c r="AH68" s="48">
        <v>0</v>
      </c>
      <c r="AI68" s="48">
        <v>0</v>
      </c>
      <c r="AJ68" s="48"/>
      <c r="AK68" s="48"/>
      <c r="AL68" s="48"/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</row>
    <row r="69" spans="2:44">
      <c r="B69" s="61" t="s">
        <v>235</v>
      </c>
      <c r="C69" s="48"/>
      <c r="D69" s="62" t="s">
        <v>329</v>
      </c>
      <c r="E69" s="48"/>
      <c r="F69" s="48"/>
      <c r="G69" s="48"/>
      <c r="H69" s="48"/>
      <c r="I69" s="48">
        <v>19200</v>
      </c>
      <c r="J69" s="48"/>
      <c r="K69" s="48"/>
      <c r="L69" s="48"/>
      <c r="M69" s="48"/>
      <c r="N69" s="63"/>
      <c r="O69" s="47"/>
      <c r="P69" s="43">
        <v>661532</v>
      </c>
      <c r="Q69" s="47">
        <v>0</v>
      </c>
      <c r="R69" s="47">
        <v>0</v>
      </c>
      <c r="S69" s="48">
        <v>51284</v>
      </c>
      <c r="T69" s="48"/>
      <c r="U69" s="48">
        <v>720</v>
      </c>
      <c r="V69" s="48">
        <v>5175</v>
      </c>
      <c r="W69" s="49">
        <v>2400</v>
      </c>
      <c r="X69" s="50">
        <v>11220</v>
      </c>
      <c r="Y69" s="50">
        <v>337</v>
      </c>
      <c r="Z69" s="48">
        <v>87281</v>
      </c>
      <c r="AA69" s="48">
        <v>15000</v>
      </c>
      <c r="AB69" s="48"/>
      <c r="AC69" s="48">
        <v>0</v>
      </c>
      <c r="AD69" s="48">
        <v>0</v>
      </c>
      <c r="AE69" s="48">
        <v>0</v>
      </c>
      <c r="AF69" s="48"/>
      <c r="AG69" s="48">
        <v>0</v>
      </c>
      <c r="AH69" s="48">
        <v>0</v>
      </c>
      <c r="AI69" s="48">
        <v>0</v>
      </c>
      <c r="AJ69" s="48"/>
      <c r="AK69" s="48"/>
      <c r="AL69" s="48"/>
      <c r="AM69" s="48">
        <v>6125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</row>
    <row r="70" spans="2:44" s="54" customFormat="1">
      <c r="B70" s="66" t="s">
        <v>236</v>
      </c>
      <c r="C70" s="55"/>
      <c r="D70" s="67" t="s">
        <v>330</v>
      </c>
      <c r="E70" s="55"/>
      <c r="F70" s="55"/>
      <c r="G70" s="55"/>
      <c r="H70" s="55"/>
      <c r="I70" s="55">
        <v>19200</v>
      </c>
      <c r="J70" s="55"/>
      <c r="K70" s="55"/>
      <c r="L70" s="55"/>
      <c r="M70" s="55"/>
      <c r="N70" s="55"/>
      <c r="O70" s="55"/>
      <c r="P70" s="43">
        <v>494264</v>
      </c>
      <c r="Q70" s="47">
        <v>0</v>
      </c>
      <c r="R70" s="47">
        <v>0</v>
      </c>
      <c r="S70" s="55">
        <v>36917</v>
      </c>
      <c r="T70" s="55"/>
      <c r="U70" s="55">
        <v>360</v>
      </c>
      <c r="V70" s="55">
        <v>2875</v>
      </c>
      <c r="W70" s="56">
        <v>2200</v>
      </c>
      <c r="X70" s="57">
        <v>7500</v>
      </c>
      <c r="Y70" s="57">
        <v>225</v>
      </c>
      <c r="Z70" s="55">
        <v>33081</v>
      </c>
      <c r="AA70" s="55">
        <v>0</v>
      </c>
      <c r="AB70" s="55"/>
      <c r="AC70" s="55">
        <v>0</v>
      </c>
      <c r="AD70" s="55">
        <v>0</v>
      </c>
      <c r="AE70" s="55">
        <v>0</v>
      </c>
      <c r="AF70" s="55"/>
      <c r="AG70" s="55">
        <v>0</v>
      </c>
      <c r="AH70" s="55">
        <v>0</v>
      </c>
      <c r="AI70" s="55">
        <v>0</v>
      </c>
      <c r="AJ70" s="55"/>
      <c r="AK70" s="55"/>
      <c r="AL70" s="55"/>
      <c r="AM70" s="55">
        <v>0</v>
      </c>
      <c r="AN70" s="55">
        <v>0</v>
      </c>
      <c r="AO70" s="55">
        <v>0</v>
      </c>
      <c r="AP70" s="55">
        <v>0</v>
      </c>
      <c r="AQ70" s="55">
        <v>0</v>
      </c>
      <c r="AR70" s="55">
        <v>0</v>
      </c>
    </row>
    <row r="71" spans="2:44">
      <c r="B71" s="61" t="s">
        <v>237</v>
      </c>
      <c r="C71" s="48"/>
      <c r="D71" s="62" t="s">
        <v>331</v>
      </c>
      <c r="E71" s="48"/>
      <c r="F71" s="48"/>
      <c r="G71" s="48"/>
      <c r="H71" s="48"/>
      <c r="I71" s="48">
        <v>19200</v>
      </c>
      <c r="J71" s="48"/>
      <c r="K71" s="48"/>
      <c r="L71" s="48"/>
      <c r="M71" s="48"/>
      <c r="N71" s="63"/>
      <c r="O71" s="47"/>
      <c r="P71" s="43">
        <v>309960</v>
      </c>
      <c r="Q71" s="47">
        <v>0</v>
      </c>
      <c r="R71" s="47">
        <v>0</v>
      </c>
      <c r="S71" s="48">
        <v>26732</v>
      </c>
      <c r="T71" s="48"/>
      <c r="U71" s="48">
        <v>360</v>
      </c>
      <c r="V71" s="48">
        <v>2875</v>
      </c>
      <c r="W71" s="49">
        <v>1560</v>
      </c>
      <c r="X71" s="50">
        <v>0</v>
      </c>
      <c r="Y71" s="50">
        <v>0</v>
      </c>
      <c r="Z71" s="48">
        <v>0</v>
      </c>
      <c r="AA71" s="48">
        <v>0</v>
      </c>
      <c r="AB71" s="48"/>
      <c r="AC71" s="48">
        <v>0</v>
      </c>
      <c r="AD71" s="48">
        <v>0</v>
      </c>
      <c r="AE71" s="48">
        <v>0</v>
      </c>
      <c r="AF71" s="48"/>
      <c r="AG71" s="48">
        <v>0</v>
      </c>
      <c r="AH71" s="48">
        <v>0</v>
      </c>
      <c r="AI71" s="48">
        <v>0</v>
      </c>
      <c r="AJ71" s="48"/>
      <c r="AK71" s="48"/>
      <c r="AL71" s="48"/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</row>
    <row r="72" spans="2:44">
      <c r="B72" s="61" t="s">
        <v>238</v>
      </c>
      <c r="C72" s="48"/>
      <c r="D72" s="62" t="s">
        <v>332</v>
      </c>
      <c r="E72" s="48"/>
      <c r="F72" s="48"/>
      <c r="G72" s="48"/>
      <c r="H72" s="48"/>
      <c r="I72" s="48">
        <v>19200</v>
      </c>
      <c r="J72" s="48"/>
      <c r="K72" s="48"/>
      <c r="L72" s="48"/>
      <c r="M72" s="48"/>
      <c r="N72" s="63"/>
      <c r="O72" s="47"/>
      <c r="P72" s="43">
        <v>617216</v>
      </c>
      <c r="Q72" s="47">
        <v>6455</v>
      </c>
      <c r="R72" s="47">
        <v>0</v>
      </c>
      <c r="S72" s="48">
        <v>47545</v>
      </c>
      <c r="T72" s="48"/>
      <c r="U72" s="48">
        <v>720</v>
      </c>
      <c r="V72" s="48">
        <v>0</v>
      </c>
      <c r="W72" s="49">
        <v>2400</v>
      </c>
      <c r="X72" s="50">
        <v>20700</v>
      </c>
      <c r="Y72" s="50">
        <v>621</v>
      </c>
      <c r="Z72" s="48">
        <v>0</v>
      </c>
      <c r="AA72" s="48">
        <v>0</v>
      </c>
      <c r="AB72" s="48"/>
      <c r="AC72" s="48">
        <v>0</v>
      </c>
      <c r="AD72" s="48">
        <v>0</v>
      </c>
      <c r="AE72" s="48">
        <v>0</v>
      </c>
      <c r="AF72" s="48"/>
      <c r="AG72" s="48">
        <v>0</v>
      </c>
      <c r="AH72" s="48">
        <v>0</v>
      </c>
      <c r="AI72" s="48">
        <v>0</v>
      </c>
      <c r="AJ72" s="48"/>
      <c r="AK72" s="48"/>
      <c r="AL72" s="48"/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</row>
    <row r="73" spans="2:44">
      <c r="B73" s="61" t="s">
        <v>239</v>
      </c>
      <c r="C73" s="48"/>
      <c r="D73" s="62" t="s">
        <v>333</v>
      </c>
      <c r="E73" s="48"/>
      <c r="F73" s="48"/>
      <c r="G73" s="48"/>
      <c r="H73" s="48"/>
      <c r="I73" s="48">
        <v>19200</v>
      </c>
      <c r="J73" s="48"/>
      <c r="K73" s="48"/>
      <c r="L73" s="48"/>
      <c r="M73" s="48"/>
      <c r="N73" s="63"/>
      <c r="O73" s="47"/>
      <c r="P73" s="43">
        <v>443408</v>
      </c>
      <c r="Q73" s="47">
        <v>0</v>
      </c>
      <c r="R73" s="47">
        <v>0</v>
      </c>
      <c r="S73" s="48">
        <v>39187</v>
      </c>
      <c r="T73" s="48"/>
      <c r="U73" s="48">
        <v>360</v>
      </c>
      <c r="V73" s="48">
        <v>2875</v>
      </c>
      <c r="W73" s="49">
        <v>1800</v>
      </c>
      <c r="X73" s="50">
        <v>1650</v>
      </c>
      <c r="Y73" s="50">
        <v>50</v>
      </c>
      <c r="Z73" s="48">
        <v>47149</v>
      </c>
      <c r="AA73" s="48">
        <v>0</v>
      </c>
      <c r="AB73" s="48"/>
      <c r="AC73" s="48">
        <v>0</v>
      </c>
      <c r="AD73" s="48">
        <v>0</v>
      </c>
      <c r="AE73" s="48">
        <v>0</v>
      </c>
      <c r="AF73" s="48"/>
      <c r="AG73" s="48">
        <v>0</v>
      </c>
      <c r="AH73" s="48">
        <v>0</v>
      </c>
      <c r="AI73" s="48">
        <v>0</v>
      </c>
      <c r="AJ73" s="48"/>
      <c r="AK73" s="48"/>
      <c r="AL73" s="48"/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</row>
    <row r="74" spans="2:44">
      <c r="B74" s="61" t="s">
        <v>240</v>
      </c>
      <c r="C74" s="48"/>
      <c r="D74" s="62" t="s">
        <v>334</v>
      </c>
      <c r="E74" s="48"/>
      <c r="F74" s="48"/>
      <c r="G74" s="48"/>
      <c r="H74" s="48"/>
      <c r="I74" s="48">
        <v>19200</v>
      </c>
      <c r="J74" s="48"/>
      <c r="K74" s="48"/>
      <c r="L74" s="48"/>
      <c r="M74" s="48"/>
      <c r="N74" s="63"/>
      <c r="O74" s="47"/>
      <c r="P74" s="43">
        <v>579908</v>
      </c>
      <c r="Q74" s="47">
        <v>0</v>
      </c>
      <c r="R74" s="47">
        <v>122500</v>
      </c>
      <c r="S74" s="48">
        <v>43559</v>
      </c>
      <c r="T74" s="48"/>
      <c r="U74" s="48">
        <v>360</v>
      </c>
      <c r="V74" s="48">
        <v>2875</v>
      </c>
      <c r="W74" s="49">
        <v>2400</v>
      </c>
      <c r="X74" s="50">
        <v>0</v>
      </c>
      <c r="Y74" s="50">
        <v>0</v>
      </c>
      <c r="Z74" s="48">
        <v>18195</v>
      </c>
      <c r="AA74" s="48">
        <v>0</v>
      </c>
      <c r="AB74" s="48"/>
      <c r="AC74" s="48">
        <v>12579</v>
      </c>
      <c r="AD74" s="48">
        <v>0</v>
      </c>
      <c r="AE74" s="48">
        <v>0</v>
      </c>
      <c r="AF74" s="48"/>
      <c r="AG74" s="48">
        <v>167920</v>
      </c>
      <c r="AH74" s="48">
        <v>0</v>
      </c>
      <c r="AI74" s="48">
        <v>0</v>
      </c>
      <c r="AJ74" s="48"/>
      <c r="AK74" s="48"/>
      <c r="AL74" s="48"/>
      <c r="AM74" s="48">
        <v>0</v>
      </c>
      <c r="AN74" s="48">
        <v>28014</v>
      </c>
      <c r="AO74" s="48">
        <v>0</v>
      </c>
      <c r="AP74" s="48">
        <v>0</v>
      </c>
      <c r="AQ74" s="48">
        <v>0</v>
      </c>
      <c r="AR74" s="48">
        <v>0</v>
      </c>
    </row>
    <row r="75" spans="2:44">
      <c r="B75" s="61" t="s">
        <v>241</v>
      </c>
      <c r="C75" s="48"/>
      <c r="D75" s="62" t="s">
        <v>335</v>
      </c>
      <c r="E75" s="48"/>
      <c r="F75" s="48"/>
      <c r="G75" s="48"/>
      <c r="H75" s="48"/>
      <c r="I75" s="48">
        <v>19200</v>
      </c>
      <c r="J75" s="48"/>
      <c r="K75" s="48"/>
      <c r="L75" s="48"/>
      <c r="M75" s="48"/>
      <c r="N75" s="63"/>
      <c r="O75" s="47"/>
      <c r="P75" s="43">
        <v>643520</v>
      </c>
      <c r="Q75" s="47">
        <v>0</v>
      </c>
      <c r="R75" s="47">
        <v>0</v>
      </c>
      <c r="S75" s="48">
        <v>49774</v>
      </c>
      <c r="T75" s="48"/>
      <c r="U75" s="48">
        <v>720</v>
      </c>
      <c r="V75" s="48">
        <v>0</v>
      </c>
      <c r="W75" s="49">
        <v>2400</v>
      </c>
      <c r="X75" s="50">
        <v>9650</v>
      </c>
      <c r="Y75" s="50">
        <v>290</v>
      </c>
      <c r="Z75" s="48">
        <v>80164</v>
      </c>
      <c r="AA75" s="48">
        <v>50000</v>
      </c>
      <c r="AB75" s="48"/>
      <c r="AC75" s="48">
        <v>0</v>
      </c>
      <c r="AD75" s="48">
        <v>0</v>
      </c>
      <c r="AE75" s="48">
        <v>0</v>
      </c>
      <c r="AF75" s="48"/>
      <c r="AG75" s="48">
        <v>0</v>
      </c>
      <c r="AH75" s="48">
        <v>0</v>
      </c>
      <c r="AI75" s="48">
        <v>0</v>
      </c>
      <c r="AJ75" s="48"/>
      <c r="AK75" s="48"/>
      <c r="AL75" s="48"/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</row>
    <row r="76" spans="2:44">
      <c r="B76" s="61" t="s">
        <v>242</v>
      </c>
      <c r="C76" s="48"/>
      <c r="D76" s="62" t="s">
        <v>336</v>
      </c>
      <c r="E76" s="48"/>
      <c r="F76" s="48"/>
      <c r="G76" s="48"/>
      <c r="H76" s="48"/>
      <c r="I76" s="48">
        <v>19200</v>
      </c>
      <c r="J76" s="48"/>
      <c r="K76" s="48"/>
      <c r="L76" s="48"/>
      <c r="M76" s="48"/>
      <c r="N76" s="63"/>
      <c r="O76" s="47"/>
      <c r="P76" s="43">
        <v>585896</v>
      </c>
      <c r="Q76" s="47">
        <v>0</v>
      </c>
      <c r="R76" s="47">
        <v>176916</v>
      </c>
      <c r="S76" s="48">
        <v>44819</v>
      </c>
      <c r="T76" s="48"/>
      <c r="U76" s="48">
        <v>360</v>
      </c>
      <c r="V76" s="48">
        <v>0</v>
      </c>
      <c r="W76" s="49">
        <v>2400</v>
      </c>
      <c r="X76" s="50">
        <v>0</v>
      </c>
      <c r="Y76" s="50">
        <v>0</v>
      </c>
      <c r="Z76" s="48">
        <v>7792</v>
      </c>
      <c r="AA76" s="48">
        <v>5000</v>
      </c>
      <c r="AB76" s="48"/>
      <c r="AC76" s="48">
        <v>38004</v>
      </c>
      <c r="AD76" s="48">
        <v>0</v>
      </c>
      <c r="AE76" s="48">
        <v>0</v>
      </c>
      <c r="AF76" s="48"/>
      <c r="AG76" s="48">
        <v>0</v>
      </c>
      <c r="AH76" s="48">
        <v>17475</v>
      </c>
      <c r="AI76" s="48">
        <v>0</v>
      </c>
      <c r="AJ76" s="48"/>
      <c r="AK76" s="48"/>
      <c r="AL76" s="48"/>
      <c r="AM76" s="48">
        <v>4710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</row>
    <row r="77" spans="2:44">
      <c r="B77" s="61" t="s">
        <v>243</v>
      </c>
      <c r="C77" s="48"/>
      <c r="D77" s="62" t="s">
        <v>337</v>
      </c>
      <c r="E77" s="48"/>
      <c r="F77" s="48"/>
      <c r="G77" s="48"/>
      <c r="H77" s="48"/>
      <c r="I77" s="48">
        <v>19200</v>
      </c>
      <c r="J77" s="48"/>
      <c r="K77" s="48"/>
      <c r="L77" s="48"/>
      <c r="M77" s="48"/>
      <c r="N77" s="63"/>
      <c r="O77" s="47"/>
      <c r="P77" s="43">
        <v>506254</v>
      </c>
      <c r="Q77" s="47">
        <v>0</v>
      </c>
      <c r="R77" s="47">
        <v>0</v>
      </c>
      <c r="S77" s="48">
        <v>38114</v>
      </c>
      <c r="T77" s="48"/>
      <c r="U77" s="48">
        <v>360</v>
      </c>
      <c r="V77" s="48">
        <v>0</v>
      </c>
      <c r="W77" s="49">
        <v>2200</v>
      </c>
      <c r="X77" s="50">
        <v>6300</v>
      </c>
      <c r="Y77" s="50">
        <v>189</v>
      </c>
      <c r="Z77" s="48">
        <v>10464</v>
      </c>
      <c r="AA77" s="48">
        <v>60000</v>
      </c>
      <c r="AB77" s="48"/>
      <c r="AC77" s="48">
        <v>0</v>
      </c>
      <c r="AD77" s="48">
        <v>0</v>
      </c>
      <c r="AE77" s="48">
        <v>0</v>
      </c>
      <c r="AF77" s="48"/>
      <c r="AG77" s="48">
        <v>0</v>
      </c>
      <c r="AH77" s="48">
        <v>0</v>
      </c>
      <c r="AI77" s="48">
        <v>0</v>
      </c>
      <c r="AJ77" s="48"/>
      <c r="AK77" s="48"/>
      <c r="AL77" s="48"/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</row>
    <row r="78" spans="2:44">
      <c r="B78" s="61" t="s">
        <v>244</v>
      </c>
      <c r="C78" s="48"/>
      <c r="D78" s="62" t="s">
        <v>338</v>
      </c>
      <c r="E78" s="48"/>
      <c r="F78" s="48"/>
      <c r="G78" s="48"/>
      <c r="H78" s="48"/>
      <c r="I78" s="48">
        <v>19200</v>
      </c>
      <c r="J78" s="48"/>
      <c r="K78" s="48"/>
      <c r="L78" s="48"/>
      <c r="M78" s="48"/>
      <c r="N78" s="63"/>
      <c r="O78" s="47"/>
      <c r="P78" s="43">
        <v>541772</v>
      </c>
      <c r="Q78" s="47">
        <v>10461</v>
      </c>
      <c r="R78" s="47">
        <v>0</v>
      </c>
      <c r="S78" s="48">
        <v>41039</v>
      </c>
      <c r="T78" s="48"/>
      <c r="U78" s="48">
        <v>360</v>
      </c>
      <c r="V78" s="48">
        <v>1750</v>
      </c>
      <c r="W78" s="49">
        <v>2350</v>
      </c>
      <c r="X78" s="50">
        <v>7040</v>
      </c>
      <c r="Y78" s="50">
        <v>211</v>
      </c>
      <c r="Z78" s="48">
        <v>70917</v>
      </c>
      <c r="AA78" s="48">
        <v>0</v>
      </c>
      <c r="AB78" s="48"/>
      <c r="AC78" s="48">
        <v>0</v>
      </c>
      <c r="AD78" s="48">
        <v>0</v>
      </c>
      <c r="AE78" s="48">
        <v>0</v>
      </c>
      <c r="AF78" s="48"/>
      <c r="AG78" s="48">
        <v>0</v>
      </c>
      <c r="AH78" s="48">
        <v>0</v>
      </c>
      <c r="AI78" s="48">
        <v>0</v>
      </c>
      <c r="AJ78" s="48"/>
      <c r="AK78" s="48"/>
      <c r="AL78" s="48"/>
      <c r="AM78" s="48">
        <v>5080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</row>
    <row r="79" spans="2:44">
      <c r="B79" s="61" t="s">
        <v>245</v>
      </c>
      <c r="C79" s="48"/>
      <c r="D79" s="62" t="s">
        <v>339</v>
      </c>
      <c r="E79" s="48"/>
      <c r="F79" s="48"/>
      <c r="G79" s="48"/>
      <c r="H79" s="48"/>
      <c r="I79" s="48">
        <v>19200</v>
      </c>
      <c r="J79" s="48"/>
      <c r="K79" s="48"/>
      <c r="L79" s="48"/>
      <c r="M79" s="48"/>
      <c r="N79" s="63"/>
      <c r="O79" s="47"/>
      <c r="P79" s="43">
        <v>511482</v>
      </c>
      <c r="Q79" s="47">
        <v>0</v>
      </c>
      <c r="R79" s="47">
        <v>97942</v>
      </c>
      <c r="S79" s="48">
        <v>41004</v>
      </c>
      <c r="T79" s="48"/>
      <c r="U79" s="48">
        <v>360</v>
      </c>
      <c r="V79" s="48">
        <v>0</v>
      </c>
      <c r="W79" s="49">
        <v>2200</v>
      </c>
      <c r="X79" s="50">
        <v>0</v>
      </c>
      <c r="Y79" s="50">
        <v>0</v>
      </c>
      <c r="Z79" s="48">
        <v>48396</v>
      </c>
      <c r="AA79" s="48">
        <v>0</v>
      </c>
      <c r="AB79" s="48"/>
      <c r="AC79" s="48">
        <v>21121</v>
      </c>
      <c r="AD79" s="48">
        <v>0</v>
      </c>
      <c r="AE79" s="48">
        <v>0</v>
      </c>
      <c r="AF79" s="48"/>
      <c r="AG79" s="48">
        <v>0</v>
      </c>
      <c r="AH79" s="48">
        <v>0</v>
      </c>
      <c r="AI79" s="48">
        <v>0</v>
      </c>
      <c r="AJ79" s="48"/>
      <c r="AK79" s="48"/>
      <c r="AL79" s="48"/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</row>
    <row r="80" spans="2:44">
      <c r="B80" s="61" t="s">
        <v>246</v>
      </c>
      <c r="C80" s="48"/>
      <c r="D80" s="62" t="s">
        <v>340</v>
      </c>
      <c r="E80" s="48"/>
      <c r="F80" s="48"/>
      <c r="G80" s="48"/>
      <c r="H80" s="48"/>
      <c r="I80" s="48">
        <v>19200</v>
      </c>
      <c r="J80" s="48"/>
      <c r="K80" s="48"/>
      <c r="L80" s="48"/>
      <c r="M80" s="48"/>
      <c r="N80" s="63"/>
      <c r="O80" s="47"/>
      <c r="P80" s="43">
        <v>570198</v>
      </c>
      <c r="Q80" s="47">
        <v>0</v>
      </c>
      <c r="R80" s="47">
        <v>0</v>
      </c>
      <c r="S80" s="48">
        <v>43559</v>
      </c>
      <c r="T80" s="48"/>
      <c r="U80" s="48">
        <v>360</v>
      </c>
      <c r="V80" s="48">
        <v>2875</v>
      </c>
      <c r="W80" s="49">
        <v>2400</v>
      </c>
      <c r="X80" s="50">
        <v>11500</v>
      </c>
      <c r="Y80" s="50">
        <v>345</v>
      </c>
      <c r="Z80" s="48">
        <v>12627</v>
      </c>
      <c r="AA80" s="48">
        <v>10500</v>
      </c>
      <c r="AB80" s="48"/>
      <c r="AC80" s="48">
        <v>0</v>
      </c>
      <c r="AD80" s="48">
        <v>0</v>
      </c>
      <c r="AE80" s="48">
        <v>0</v>
      </c>
      <c r="AF80" s="48"/>
      <c r="AG80" s="48">
        <v>0</v>
      </c>
      <c r="AH80" s="48">
        <v>0</v>
      </c>
      <c r="AI80" s="48">
        <v>0</v>
      </c>
      <c r="AJ80" s="48"/>
      <c r="AK80" s="48"/>
      <c r="AL80" s="48"/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</row>
    <row r="81" spans="2:44">
      <c r="B81" s="61" t="s">
        <v>247</v>
      </c>
      <c r="C81" s="48"/>
      <c r="D81" s="62" t="s">
        <v>341</v>
      </c>
      <c r="E81" s="48"/>
      <c r="F81" s="48"/>
      <c r="G81" s="48"/>
      <c r="H81" s="48"/>
      <c r="I81" s="48">
        <v>19200</v>
      </c>
      <c r="J81" s="48"/>
      <c r="K81" s="48"/>
      <c r="L81" s="48"/>
      <c r="M81" s="48"/>
      <c r="N81" s="63"/>
      <c r="O81" s="47"/>
      <c r="P81" s="43">
        <v>516616</v>
      </c>
      <c r="Q81" s="47">
        <v>33886</v>
      </c>
      <c r="R81" s="47">
        <v>0</v>
      </c>
      <c r="S81" s="48">
        <v>38114</v>
      </c>
      <c r="T81" s="48"/>
      <c r="U81" s="48">
        <v>360</v>
      </c>
      <c r="V81" s="48">
        <v>1666</v>
      </c>
      <c r="W81" s="49">
        <v>2200</v>
      </c>
      <c r="X81" s="50">
        <v>5350</v>
      </c>
      <c r="Y81" s="50">
        <v>161</v>
      </c>
      <c r="Z81" s="48">
        <v>29532</v>
      </c>
      <c r="AA81" s="48">
        <v>35000</v>
      </c>
      <c r="AB81" s="48"/>
      <c r="AC81" s="48">
        <v>0</v>
      </c>
      <c r="AD81" s="48">
        <v>0</v>
      </c>
      <c r="AE81" s="48">
        <v>0</v>
      </c>
      <c r="AF81" s="48"/>
      <c r="AG81" s="48">
        <v>0</v>
      </c>
      <c r="AH81" s="48">
        <v>0</v>
      </c>
      <c r="AI81" s="48">
        <v>0</v>
      </c>
      <c r="AJ81" s="48"/>
      <c r="AK81" s="48"/>
      <c r="AL81" s="48"/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</row>
    <row r="82" spans="2:44" s="54" customFormat="1">
      <c r="B82" s="66" t="s">
        <v>248</v>
      </c>
      <c r="C82" s="55"/>
      <c r="D82" s="67" t="s">
        <v>342</v>
      </c>
      <c r="E82" s="55"/>
      <c r="F82" s="55"/>
      <c r="G82" s="55"/>
      <c r="H82" s="55"/>
      <c r="I82" s="55">
        <v>19200</v>
      </c>
      <c r="J82" s="55"/>
      <c r="K82" s="55"/>
      <c r="L82" s="55"/>
      <c r="M82" s="55"/>
      <c r="N82" s="55"/>
      <c r="O82" s="55"/>
      <c r="P82" s="43">
        <v>504554</v>
      </c>
      <c r="Q82" s="47">
        <v>0</v>
      </c>
      <c r="R82" s="47">
        <v>0</v>
      </c>
      <c r="S82" s="55">
        <v>38114</v>
      </c>
      <c r="T82" s="55"/>
      <c r="U82" s="55">
        <v>360</v>
      </c>
      <c r="V82" s="55">
        <v>0</v>
      </c>
      <c r="W82" s="56">
        <v>2200</v>
      </c>
      <c r="X82" s="57">
        <v>8350</v>
      </c>
      <c r="Y82" s="57">
        <v>251</v>
      </c>
      <c r="Z82" s="55">
        <v>27840</v>
      </c>
      <c r="AA82" s="55">
        <v>0</v>
      </c>
      <c r="AB82" s="55"/>
      <c r="AC82" s="55">
        <v>0</v>
      </c>
      <c r="AD82" s="55">
        <v>0</v>
      </c>
      <c r="AE82" s="55">
        <v>0</v>
      </c>
      <c r="AF82" s="55"/>
      <c r="AG82" s="55">
        <v>0</v>
      </c>
      <c r="AH82" s="55">
        <v>0</v>
      </c>
      <c r="AI82" s="55">
        <v>0</v>
      </c>
      <c r="AJ82" s="55"/>
      <c r="AK82" s="55"/>
      <c r="AL82" s="55"/>
      <c r="AM82" s="55">
        <v>0</v>
      </c>
      <c r="AN82" s="55">
        <v>0</v>
      </c>
      <c r="AO82" s="55">
        <v>0</v>
      </c>
      <c r="AP82" s="55">
        <v>0</v>
      </c>
      <c r="AQ82" s="55">
        <v>0</v>
      </c>
      <c r="AR82" s="55">
        <v>0</v>
      </c>
    </row>
    <row r="83" spans="2:44">
      <c r="B83" s="61" t="s">
        <v>249</v>
      </c>
      <c r="C83" s="48"/>
      <c r="D83" s="62" t="s">
        <v>343</v>
      </c>
      <c r="E83" s="48"/>
      <c r="F83" s="48"/>
      <c r="G83" s="48"/>
      <c r="H83" s="48"/>
      <c r="I83" s="48">
        <v>19200</v>
      </c>
      <c r="J83" s="48"/>
      <c r="K83" s="48"/>
      <c r="L83" s="48"/>
      <c r="M83" s="48"/>
      <c r="N83" s="63"/>
      <c r="O83" s="47"/>
      <c r="P83" s="43">
        <v>533228</v>
      </c>
      <c r="Q83" s="47">
        <v>0</v>
      </c>
      <c r="R83" s="47">
        <v>0</v>
      </c>
      <c r="S83" s="48">
        <v>38114</v>
      </c>
      <c r="T83" s="48"/>
      <c r="U83" s="48">
        <v>360</v>
      </c>
      <c r="V83" s="48">
        <v>0</v>
      </c>
      <c r="W83" s="49">
        <v>2200</v>
      </c>
      <c r="X83" s="50">
        <v>11180</v>
      </c>
      <c r="Y83" s="50">
        <v>335</v>
      </c>
      <c r="Z83" s="48">
        <v>0</v>
      </c>
      <c r="AA83" s="48">
        <v>0</v>
      </c>
      <c r="AB83" s="48"/>
      <c r="AC83" s="48">
        <v>0</v>
      </c>
      <c r="AD83" s="48">
        <v>0</v>
      </c>
      <c r="AE83" s="48">
        <v>0</v>
      </c>
      <c r="AF83" s="48"/>
      <c r="AG83" s="48">
        <v>0</v>
      </c>
      <c r="AH83" s="48">
        <v>0</v>
      </c>
      <c r="AI83" s="48">
        <v>0</v>
      </c>
      <c r="AJ83" s="48"/>
      <c r="AK83" s="48"/>
      <c r="AL83" s="48"/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</row>
    <row r="84" spans="2:44">
      <c r="B84" s="61" t="s">
        <v>250</v>
      </c>
      <c r="C84" s="48"/>
      <c r="D84" s="62" t="s">
        <v>344</v>
      </c>
      <c r="E84" s="48"/>
      <c r="F84" s="48"/>
      <c r="G84" s="48"/>
      <c r="H84" s="48"/>
      <c r="I84" s="48">
        <v>19200</v>
      </c>
      <c r="J84" s="48"/>
      <c r="K84" s="48"/>
      <c r="L84" s="48"/>
      <c r="M84" s="48"/>
      <c r="N84" s="63"/>
      <c r="O84" s="47"/>
      <c r="P84" s="43">
        <v>655630</v>
      </c>
      <c r="Q84" s="47">
        <v>13226</v>
      </c>
      <c r="R84" s="47">
        <v>0</v>
      </c>
      <c r="S84" s="48">
        <v>49774</v>
      </c>
      <c r="T84" s="48"/>
      <c r="U84" s="48">
        <v>720</v>
      </c>
      <c r="V84" s="48">
        <v>5175</v>
      </c>
      <c r="W84" s="49">
        <v>2400</v>
      </c>
      <c r="X84" s="50">
        <v>17120</v>
      </c>
      <c r="Y84" s="50">
        <v>514</v>
      </c>
      <c r="Z84" s="48">
        <v>42108</v>
      </c>
      <c r="AA84" s="48">
        <v>0</v>
      </c>
      <c r="AB84" s="48"/>
      <c r="AC84" s="48">
        <v>0</v>
      </c>
      <c r="AD84" s="48">
        <v>0</v>
      </c>
      <c r="AE84" s="48">
        <v>0</v>
      </c>
      <c r="AF84" s="48"/>
      <c r="AG84" s="48">
        <v>0</v>
      </c>
      <c r="AH84" s="48">
        <v>0</v>
      </c>
      <c r="AI84" s="48">
        <v>0</v>
      </c>
      <c r="AJ84" s="48"/>
      <c r="AK84" s="48"/>
      <c r="AL84" s="48"/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</row>
    <row r="85" spans="2:44">
      <c r="B85" s="61" t="s">
        <v>251</v>
      </c>
      <c r="C85" s="48"/>
      <c r="D85" s="62" t="s">
        <v>345</v>
      </c>
      <c r="E85" s="48"/>
      <c r="F85" s="48"/>
      <c r="G85" s="48"/>
      <c r="H85" s="48"/>
      <c r="I85" s="48">
        <v>19200</v>
      </c>
      <c r="J85" s="48"/>
      <c r="K85" s="48"/>
      <c r="L85" s="48"/>
      <c r="M85" s="48"/>
      <c r="N85" s="63"/>
      <c r="O85" s="47"/>
      <c r="P85" s="43">
        <v>503978</v>
      </c>
      <c r="Q85" s="47">
        <v>0</v>
      </c>
      <c r="R85" s="47">
        <v>0</v>
      </c>
      <c r="S85" s="48">
        <v>38114</v>
      </c>
      <c r="T85" s="48"/>
      <c r="U85" s="48">
        <v>360</v>
      </c>
      <c r="V85" s="48">
        <v>2875</v>
      </c>
      <c r="W85" s="49">
        <v>2200</v>
      </c>
      <c r="X85" s="50">
        <v>2300</v>
      </c>
      <c r="Y85" s="50">
        <v>69</v>
      </c>
      <c r="Z85" s="48">
        <v>0</v>
      </c>
      <c r="AA85" s="48">
        <v>10000</v>
      </c>
      <c r="AB85" s="48"/>
      <c r="AC85" s="48">
        <v>0</v>
      </c>
      <c r="AD85" s="48">
        <v>67692</v>
      </c>
      <c r="AE85" s="48">
        <v>0</v>
      </c>
      <c r="AF85" s="48"/>
      <c r="AG85" s="48">
        <v>0</v>
      </c>
      <c r="AH85" s="48">
        <v>18000</v>
      </c>
      <c r="AI85" s="48">
        <v>0</v>
      </c>
      <c r="AJ85" s="48"/>
      <c r="AK85" s="48"/>
      <c r="AL85" s="48"/>
      <c r="AM85" s="48">
        <v>0</v>
      </c>
      <c r="AN85" s="48">
        <v>0</v>
      </c>
      <c r="AO85" s="48">
        <v>0</v>
      </c>
      <c r="AP85" s="48">
        <v>0</v>
      </c>
      <c r="AQ85" s="48">
        <v>0</v>
      </c>
      <c r="AR85" s="48">
        <v>0</v>
      </c>
    </row>
    <row r="86" spans="2:44">
      <c r="B86" s="61" t="s">
        <v>252</v>
      </c>
      <c r="C86" s="48"/>
      <c r="D86" s="62" t="s">
        <v>346</v>
      </c>
      <c r="E86" s="48"/>
      <c r="F86" s="48"/>
      <c r="G86" s="48"/>
      <c r="H86" s="48"/>
      <c r="I86" s="48">
        <v>19200</v>
      </c>
      <c r="J86" s="48"/>
      <c r="K86" s="48"/>
      <c r="L86" s="48"/>
      <c r="M86" s="48"/>
      <c r="N86" s="63"/>
      <c r="O86" s="47"/>
      <c r="P86" s="43">
        <v>554720</v>
      </c>
      <c r="Q86" s="47">
        <v>0</v>
      </c>
      <c r="R86" s="47">
        <v>0</v>
      </c>
      <c r="S86" s="48">
        <v>42299</v>
      </c>
      <c r="T86" s="48"/>
      <c r="U86" s="48">
        <v>360</v>
      </c>
      <c r="V86" s="48">
        <v>2875</v>
      </c>
      <c r="W86" s="49">
        <v>2400</v>
      </c>
      <c r="X86" s="50">
        <v>1950</v>
      </c>
      <c r="Y86" s="50">
        <v>59</v>
      </c>
      <c r="Z86" s="48">
        <v>0</v>
      </c>
      <c r="AA86" s="48">
        <v>150000</v>
      </c>
      <c r="AB86" s="48"/>
      <c r="AC86" s="48">
        <v>0</v>
      </c>
      <c r="AD86" s="48">
        <v>0</v>
      </c>
      <c r="AE86" s="48">
        <v>5000</v>
      </c>
      <c r="AF86" s="48"/>
      <c r="AG86" s="48">
        <v>0</v>
      </c>
      <c r="AH86" s="48">
        <v>0</v>
      </c>
      <c r="AI86" s="48">
        <v>0</v>
      </c>
      <c r="AJ86" s="48"/>
      <c r="AK86" s="48"/>
      <c r="AL86" s="48"/>
      <c r="AM86" s="48">
        <v>0</v>
      </c>
      <c r="AN86" s="48">
        <v>0</v>
      </c>
      <c r="AO86" s="48">
        <v>0</v>
      </c>
      <c r="AP86" s="48">
        <v>0</v>
      </c>
      <c r="AQ86" s="48">
        <v>0</v>
      </c>
      <c r="AR86" s="48">
        <v>0</v>
      </c>
    </row>
    <row r="87" spans="2:44">
      <c r="B87" s="61" t="s">
        <v>253</v>
      </c>
      <c r="C87" s="48"/>
      <c r="D87" s="62" t="s">
        <v>347</v>
      </c>
      <c r="E87" s="48"/>
      <c r="F87" s="48"/>
      <c r="G87" s="48"/>
      <c r="H87" s="48"/>
      <c r="I87" s="48">
        <v>19200</v>
      </c>
      <c r="J87" s="48"/>
      <c r="K87" s="48"/>
      <c r="L87" s="48"/>
      <c r="M87" s="48"/>
      <c r="N87" s="63"/>
      <c r="O87" s="47"/>
      <c r="P87" s="43">
        <v>630248</v>
      </c>
      <c r="Q87" s="47">
        <v>0</v>
      </c>
      <c r="R87" s="47">
        <v>0</v>
      </c>
      <c r="S87" s="48">
        <v>48302</v>
      </c>
      <c r="T87" s="48"/>
      <c r="U87" s="48">
        <v>720</v>
      </c>
      <c r="V87" s="48">
        <v>0</v>
      </c>
      <c r="W87" s="49">
        <v>2400</v>
      </c>
      <c r="X87" s="50">
        <v>8300</v>
      </c>
      <c r="Y87" s="50">
        <v>249</v>
      </c>
      <c r="Z87" s="48">
        <v>63691</v>
      </c>
      <c r="AA87" s="48">
        <v>80000</v>
      </c>
      <c r="AB87" s="48"/>
      <c r="AC87" s="48">
        <v>0</v>
      </c>
      <c r="AD87" s="48">
        <v>0</v>
      </c>
      <c r="AE87" s="48">
        <v>0</v>
      </c>
      <c r="AF87" s="48"/>
      <c r="AG87" s="48">
        <v>0</v>
      </c>
      <c r="AH87" s="48">
        <v>0</v>
      </c>
      <c r="AI87" s="48">
        <v>0</v>
      </c>
      <c r="AJ87" s="48"/>
      <c r="AK87" s="48"/>
      <c r="AL87" s="48"/>
      <c r="AM87" s="48">
        <v>0</v>
      </c>
      <c r="AN87" s="48">
        <v>0</v>
      </c>
      <c r="AO87" s="48">
        <v>0</v>
      </c>
      <c r="AP87" s="48">
        <v>0</v>
      </c>
      <c r="AQ87" s="48">
        <v>0</v>
      </c>
      <c r="AR87" s="48">
        <v>0</v>
      </c>
    </row>
    <row r="88" spans="2:44">
      <c r="B88" s="61" t="s">
        <v>254</v>
      </c>
      <c r="C88" s="48"/>
      <c r="D88" s="62" t="s">
        <v>348</v>
      </c>
      <c r="E88" s="48"/>
      <c r="F88" s="48"/>
      <c r="G88" s="48"/>
      <c r="H88" s="48"/>
      <c r="I88" s="48">
        <v>19200</v>
      </c>
      <c r="J88" s="48"/>
      <c r="K88" s="48"/>
      <c r="L88" s="48"/>
      <c r="M88" s="48"/>
      <c r="N88" s="63"/>
      <c r="O88" s="47"/>
      <c r="P88" s="43">
        <v>645968</v>
      </c>
      <c r="Q88" s="47">
        <v>0</v>
      </c>
      <c r="R88" s="47">
        <v>0</v>
      </c>
      <c r="S88" s="48">
        <v>49774</v>
      </c>
      <c r="T88" s="48"/>
      <c r="U88" s="48">
        <v>720</v>
      </c>
      <c r="V88" s="48">
        <v>5175</v>
      </c>
      <c r="W88" s="49">
        <v>2400</v>
      </c>
      <c r="X88" s="50">
        <v>9350</v>
      </c>
      <c r="Y88" s="50">
        <v>281</v>
      </c>
      <c r="Z88" s="48">
        <v>58043</v>
      </c>
      <c r="AA88" s="48">
        <v>24000</v>
      </c>
      <c r="AB88" s="48"/>
      <c r="AC88" s="48">
        <v>0</v>
      </c>
      <c r="AD88" s="48">
        <v>0</v>
      </c>
      <c r="AE88" s="48">
        <v>50000</v>
      </c>
      <c r="AF88" s="48"/>
      <c r="AG88" s="48">
        <v>0</v>
      </c>
      <c r="AH88" s="48">
        <v>0</v>
      </c>
      <c r="AI88" s="48">
        <v>0</v>
      </c>
      <c r="AJ88" s="48"/>
      <c r="AK88" s="48"/>
      <c r="AL88" s="48"/>
      <c r="AM88" s="48">
        <v>0</v>
      </c>
      <c r="AN88" s="48">
        <v>0</v>
      </c>
      <c r="AO88" s="48">
        <v>0</v>
      </c>
      <c r="AP88" s="48">
        <v>0</v>
      </c>
      <c r="AQ88" s="48">
        <v>0</v>
      </c>
      <c r="AR88" s="48">
        <v>0</v>
      </c>
    </row>
    <row r="89" spans="2:44">
      <c r="B89" s="61" t="s">
        <v>255</v>
      </c>
      <c r="C89" s="48"/>
      <c r="D89" s="62" t="s">
        <v>349</v>
      </c>
      <c r="E89" s="48"/>
      <c r="F89" s="48"/>
      <c r="G89" s="48"/>
      <c r="H89" s="48"/>
      <c r="I89" s="48">
        <v>19200</v>
      </c>
      <c r="J89" s="48"/>
      <c r="K89" s="48"/>
      <c r="L89" s="48"/>
      <c r="M89" s="48"/>
      <c r="N89" s="63"/>
      <c r="O89" s="47"/>
      <c r="P89" s="43">
        <v>576700</v>
      </c>
      <c r="Q89" s="47">
        <v>0</v>
      </c>
      <c r="R89" s="47">
        <v>0</v>
      </c>
      <c r="S89" s="48">
        <v>44096</v>
      </c>
      <c r="T89" s="48"/>
      <c r="U89" s="48">
        <v>360</v>
      </c>
      <c r="V89" s="48">
        <v>0</v>
      </c>
      <c r="W89" s="49">
        <v>2350</v>
      </c>
      <c r="X89" s="50">
        <v>9550</v>
      </c>
      <c r="Y89" s="50">
        <v>287</v>
      </c>
      <c r="Z89" s="48">
        <v>0</v>
      </c>
      <c r="AA89" s="48">
        <v>70000</v>
      </c>
      <c r="AB89" s="48"/>
      <c r="AC89" s="48">
        <v>0</v>
      </c>
      <c r="AD89" s="48">
        <v>0</v>
      </c>
      <c r="AE89" s="48">
        <v>0</v>
      </c>
      <c r="AF89" s="48"/>
      <c r="AG89" s="48">
        <v>0</v>
      </c>
      <c r="AH89" s="48">
        <v>0</v>
      </c>
      <c r="AI89" s="48">
        <v>0</v>
      </c>
      <c r="AJ89" s="48"/>
      <c r="AK89" s="48"/>
      <c r="AL89" s="48"/>
      <c r="AM89" s="48">
        <v>0</v>
      </c>
      <c r="AN89" s="48">
        <v>0</v>
      </c>
      <c r="AO89" s="48">
        <v>0</v>
      </c>
      <c r="AP89" s="48">
        <v>0</v>
      </c>
      <c r="AQ89" s="48">
        <v>0</v>
      </c>
      <c r="AR89" s="48">
        <v>0</v>
      </c>
    </row>
    <row r="90" spans="2:44">
      <c r="B90" s="61" t="s">
        <v>256</v>
      </c>
      <c r="C90" s="48"/>
      <c r="D90" s="62" t="s">
        <v>350</v>
      </c>
      <c r="E90" s="48"/>
      <c r="F90" s="48"/>
      <c r="G90" s="48"/>
      <c r="H90" s="48"/>
      <c r="I90" s="48">
        <v>19200</v>
      </c>
      <c r="J90" s="48"/>
      <c r="K90" s="48"/>
      <c r="L90" s="48"/>
      <c r="M90" s="48"/>
      <c r="N90" s="63"/>
      <c r="O90" s="47"/>
      <c r="P90" s="43">
        <v>491218</v>
      </c>
      <c r="Q90" s="47">
        <v>0</v>
      </c>
      <c r="R90" s="47">
        <v>0</v>
      </c>
      <c r="S90" s="48">
        <v>37549</v>
      </c>
      <c r="T90" s="48"/>
      <c r="U90" s="48">
        <v>720</v>
      </c>
      <c r="V90" s="48">
        <v>2875</v>
      </c>
      <c r="W90" s="49">
        <v>2200</v>
      </c>
      <c r="X90" s="50">
        <v>9000</v>
      </c>
      <c r="Y90" s="50">
        <v>270</v>
      </c>
      <c r="Z90" s="48">
        <v>3219</v>
      </c>
      <c r="AA90" s="48">
        <v>0</v>
      </c>
      <c r="AB90" s="48"/>
      <c r="AC90" s="48">
        <v>0</v>
      </c>
      <c r="AD90" s="48">
        <v>0</v>
      </c>
      <c r="AE90" s="48">
        <v>0</v>
      </c>
      <c r="AF90" s="48"/>
      <c r="AG90" s="48">
        <v>0</v>
      </c>
      <c r="AH90" s="48">
        <v>0</v>
      </c>
      <c r="AI90" s="48">
        <v>0</v>
      </c>
      <c r="AJ90" s="48"/>
      <c r="AK90" s="48"/>
      <c r="AL90" s="48"/>
      <c r="AM90" s="48">
        <v>0</v>
      </c>
      <c r="AN90" s="48">
        <v>0</v>
      </c>
      <c r="AO90" s="48">
        <v>0</v>
      </c>
      <c r="AP90" s="48">
        <v>0</v>
      </c>
      <c r="AQ90" s="48">
        <v>0</v>
      </c>
      <c r="AR90" s="48">
        <v>0</v>
      </c>
    </row>
    <row r="91" spans="2:44">
      <c r="B91" s="61" t="s">
        <v>257</v>
      </c>
      <c r="C91" s="48"/>
      <c r="D91" s="62" t="s">
        <v>351</v>
      </c>
      <c r="E91" s="48"/>
      <c r="F91" s="48"/>
      <c r="G91" s="48"/>
      <c r="H91" s="48"/>
      <c r="I91" s="48">
        <v>19200</v>
      </c>
      <c r="J91" s="48"/>
      <c r="K91" s="48"/>
      <c r="L91" s="48"/>
      <c r="M91" s="48"/>
      <c r="N91" s="63"/>
      <c r="O91" s="47"/>
      <c r="P91" s="43">
        <v>532678</v>
      </c>
      <c r="Q91" s="47">
        <v>0</v>
      </c>
      <c r="R91" s="47">
        <v>0</v>
      </c>
      <c r="S91" s="48">
        <v>40427</v>
      </c>
      <c r="T91" s="48"/>
      <c r="U91" s="48">
        <v>360</v>
      </c>
      <c r="V91" s="48">
        <v>0</v>
      </c>
      <c r="W91" s="49">
        <v>2300</v>
      </c>
      <c r="X91" s="50">
        <v>1050</v>
      </c>
      <c r="Y91" s="50">
        <v>32</v>
      </c>
      <c r="Z91" s="48">
        <v>0</v>
      </c>
      <c r="AA91" s="48">
        <v>150000</v>
      </c>
      <c r="AB91" s="48"/>
      <c r="AC91" s="48">
        <v>0</v>
      </c>
      <c r="AD91" s="48">
        <v>0</v>
      </c>
      <c r="AE91" s="48">
        <v>0</v>
      </c>
      <c r="AF91" s="48"/>
      <c r="AG91" s="48">
        <v>0</v>
      </c>
      <c r="AH91" s="48">
        <v>0</v>
      </c>
      <c r="AI91" s="48">
        <v>0</v>
      </c>
      <c r="AJ91" s="48"/>
      <c r="AK91" s="48"/>
      <c r="AL91" s="48"/>
      <c r="AM91" s="48">
        <v>0</v>
      </c>
      <c r="AN91" s="48">
        <v>0</v>
      </c>
      <c r="AO91" s="48">
        <v>0</v>
      </c>
      <c r="AP91" s="48">
        <v>0</v>
      </c>
      <c r="AQ91" s="48">
        <v>0</v>
      </c>
      <c r="AR91" s="48">
        <v>0</v>
      </c>
    </row>
    <row r="92" spans="2:44">
      <c r="B92" s="61" t="s">
        <v>258</v>
      </c>
      <c r="C92" s="48"/>
      <c r="D92" s="62" t="s">
        <v>352</v>
      </c>
      <c r="E92" s="48"/>
      <c r="F92" s="48"/>
      <c r="G92" s="48"/>
      <c r="H92" s="48"/>
      <c r="I92" s="48">
        <v>19200</v>
      </c>
      <c r="J92" s="48"/>
      <c r="K92" s="48"/>
      <c r="L92" s="48"/>
      <c r="M92" s="48"/>
      <c r="N92" s="63"/>
      <c r="O92" s="47"/>
      <c r="P92" s="43">
        <v>618669</v>
      </c>
      <c r="Q92" s="47">
        <v>0</v>
      </c>
      <c r="R92" s="47">
        <v>146482</v>
      </c>
      <c r="S92" s="48">
        <v>49553</v>
      </c>
      <c r="T92" s="48"/>
      <c r="U92" s="48">
        <v>720</v>
      </c>
      <c r="V92" s="48">
        <v>0</v>
      </c>
      <c r="W92" s="49">
        <v>2448</v>
      </c>
      <c r="X92" s="50">
        <v>0</v>
      </c>
      <c r="Y92" s="50">
        <v>0</v>
      </c>
      <c r="Z92" s="48">
        <v>17477</v>
      </c>
      <c r="AA92" s="48">
        <v>12000</v>
      </c>
      <c r="AB92" s="48"/>
      <c r="AC92" s="48">
        <v>0</v>
      </c>
      <c r="AD92" s="48">
        <v>0</v>
      </c>
      <c r="AE92" s="48">
        <v>0</v>
      </c>
      <c r="AF92" s="48"/>
      <c r="AG92" s="48">
        <v>203885</v>
      </c>
      <c r="AH92" s="48">
        <v>0</v>
      </c>
      <c r="AI92" s="48">
        <v>0</v>
      </c>
      <c r="AJ92" s="48"/>
      <c r="AK92" s="48"/>
      <c r="AL92" s="48"/>
      <c r="AM92" s="48">
        <v>0</v>
      </c>
      <c r="AN92" s="48">
        <v>29148</v>
      </c>
      <c r="AO92" s="48">
        <v>0</v>
      </c>
      <c r="AP92" s="48">
        <v>0</v>
      </c>
      <c r="AQ92" s="48">
        <v>0</v>
      </c>
      <c r="AR92" s="48">
        <v>0</v>
      </c>
    </row>
    <row r="93" spans="2:44" s="41" customFormat="1">
      <c r="B93" s="64" t="s">
        <v>259</v>
      </c>
      <c r="C93" s="49"/>
      <c r="D93" s="65" t="s">
        <v>353</v>
      </c>
      <c r="E93" s="49"/>
      <c r="F93" s="49"/>
      <c r="G93" s="49"/>
      <c r="H93" s="49"/>
      <c r="I93" s="48">
        <v>19200</v>
      </c>
      <c r="J93" s="49"/>
      <c r="K93" s="49"/>
      <c r="L93" s="49"/>
      <c r="M93" s="49"/>
      <c r="N93" s="68"/>
      <c r="O93" s="51"/>
      <c r="P93" s="52">
        <v>476642</v>
      </c>
      <c r="Q93" s="51">
        <v>51887</v>
      </c>
      <c r="R93" s="51">
        <v>0</v>
      </c>
      <c r="S93" s="49">
        <v>38113</v>
      </c>
      <c r="T93" s="49"/>
      <c r="U93" s="49">
        <v>360</v>
      </c>
      <c r="V93" s="49">
        <v>3000</v>
      </c>
      <c r="W93" s="49">
        <v>1200</v>
      </c>
      <c r="X93" s="50">
        <v>2370</v>
      </c>
      <c r="Y93" s="50">
        <v>71</v>
      </c>
      <c r="Z93" s="49">
        <v>15334</v>
      </c>
      <c r="AA93" s="49">
        <v>0</v>
      </c>
      <c r="AB93" s="49"/>
      <c r="AC93" s="49">
        <v>0</v>
      </c>
      <c r="AD93" s="49">
        <v>0</v>
      </c>
      <c r="AE93" s="49">
        <v>0</v>
      </c>
      <c r="AF93" s="49"/>
      <c r="AG93" s="49">
        <v>0</v>
      </c>
      <c r="AH93" s="49">
        <v>0</v>
      </c>
      <c r="AI93" s="49">
        <v>0</v>
      </c>
      <c r="AJ93" s="49"/>
      <c r="AK93" s="49"/>
      <c r="AL93" s="49"/>
      <c r="AM93" s="49">
        <v>844</v>
      </c>
      <c r="AN93" s="49">
        <v>0</v>
      </c>
      <c r="AO93" s="49">
        <v>0</v>
      </c>
      <c r="AP93" s="49">
        <v>0</v>
      </c>
      <c r="AQ93" s="49">
        <v>0</v>
      </c>
      <c r="AR93" s="49">
        <v>0</v>
      </c>
    </row>
    <row r="94" spans="2:44">
      <c r="B94" s="61" t="s">
        <v>260</v>
      </c>
      <c r="C94" s="48"/>
      <c r="D94" s="62" t="s">
        <v>354</v>
      </c>
      <c r="E94" s="48"/>
      <c r="F94" s="48"/>
      <c r="G94" s="48"/>
      <c r="H94" s="48"/>
      <c r="I94" s="48">
        <v>19200</v>
      </c>
      <c r="J94" s="48"/>
      <c r="K94" s="48"/>
      <c r="L94" s="48"/>
      <c r="M94" s="48"/>
      <c r="N94" s="63"/>
      <c r="O94" s="47"/>
      <c r="P94" s="43">
        <v>685379</v>
      </c>
      <c r="Q94" s="47">
        <v>0</v>
      </c>
      <c r="R94" s="47">
        <v>0</v>
      </c>
      <c r="S94" s="48">
        <v>50256</v>
      </c>
      <c r="T94" s="48"/>
      <c r="U94" s="48">
        <v>390</v>
      </c>
      <c r="V94" s="48">
        <v>0</v>
      </c>
      <c r="W94" s="49">
        <v>2448</v>
      </c>
      <c r="X94" s="50">
        <v>28100</v>
      </c>
      <c r="Y94" s="50">
        <v>843</v>
      </c>
      <c r="Z94" s="48">
        <v>23451</v>
      </c>
      <c r="AA94" s="48">
        <v>0</v>
      </c>
      <c r="AB94" s="48"/>
      <c r="AC94" s="48">
        <v>0</v>
      </c>
      <c r="AD94" s="48">
        <v>0</v>
      </c>
      <c r="AE94" s="48">
        <v>0</v>
      </c>
      <c r="AF94" s="48"/>
      <c r="AG94" s="48">
        <v>0</v>
      </c>
      <c r="AH94" s="48">
        <v>12000</v>
      </c>
      <c r="AI94" s="48">
        <v>0</v>
      </c>
      <c r="AJ94" s="48"/>
      <c r="AK94" s="48"/>
      <c r="AL94" s="48"/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</row>
    <row r="95" spans="2:44">
      <c r="B95" s="61" t="s">
        <v>261</v>
      </c>
      <c r="C95" s="48"/>
      <c r="D95" s="62" t="s">
        <v>364</v>
      </c>
      <c r="E95" s="48"/>
      <c r="F95" s="48"/>
      <c r="G95" s="48"/>
      <c r="H95" s="48"/>
      <c r="I95" s="48">
        <v>19200</v>
      </c>
      <c r="J95" s="48"/>
      <c r="K95" s="48"/>
      <c r="L95" s="48"/>
      <c r="M95" s="48"/>
      <c r="N95" s="63"/>
      <c r="O95" s="47"/>
      <c r="P95" s="43">
        <v>551204</v>
      </c>
      <c r="Q95" s="47">
        <v>0</v>
      </c>
      <c r="R95" s="47">
        <v>0</v>
      </c>
      <c r="S95" s="48">
        <v>43920</v>
      </c>
      <c r="T95" s="48"/>
      <c r="U95" s="48">
        <v>420</v>
      </c>
      <c r="V95" s="48">
        <v>0</v>
      </c>
      <c r="W95" s="49">
        <v>2250</v>
      </c>
      <c r="X95" s="50">
        <v>9650</v>
      </c>
      <c r="Y95" s="50">
        <v>290</v>
      </c>
      <c r="Z95" s="48">
        <v>18275</v>
      </c>
      <c r="AA95" s="48">
        <v>25000</v>
      </c>
      <c r="AB95" s="48"/>
      <c r="AC95" s="48">
        <v>0</v>
      </c>
      <c r="AD95" s="48">
        <v>0</v>
      </c>
      <c r="AE95" s="48">
        <v>0</v>
      </c>
      <c r="AF95" s="48"/>
      <c r="AG95" s="48">
        <v>0</v>
      </c>
      <c r="AH95" s="48">
        <v>0</v>
      </c>
      <c r="AI95" s="48">
        <v>0</v>
      </c>
      <c r="AJ95" s="48"/>
      <c r="AK95" s="48"/>
      <c r="AL95" s="48"/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</row>
  </sheetData>
  <pageMargins left="0.70866141732283472" right="0.70866141732283472" top="0.74803149606299213" bottom="0.74803149606299213" header="0.31496062992125984" footer="0.31496062992125984"/>
  <pageSetup paperSize="9" scale="89" orientation="portrait" verticalDpi="180" r:id="rId1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2018-05-24T06:05:29Z</dcterms:modified>
</cp:coreProperties>
</file>